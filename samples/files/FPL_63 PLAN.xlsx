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reightliner\GM123 - 03.03\"/>
    </mc:Choice>
  </mc:AlternateContent>
  <xr:revisionPtr revIDLastSave="0" documentId="13_ncr:1_{2FD07289-890E-4F22-BA3E-06308D2D63E3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TrakIT Report" sheetId="1" r:id="rId1"/>
  </sheets>
  <definedNames>
    <definedName name="_xlnm._FilterDatabase" localSheetId="0" hidden="1">'TrakIT Report'!$A$1:$AG$36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6" i="1" l="1"/>
  <c r="AD35" i="1"/>
  <c r="AD34" i="1"/>
  <c r="AD33" i="1"/>
  <c r="AD32" i="1"/>
  <c r="AD31" i="1"/>
  <c r="AD30" i="1" l="1"/>
  <c r="AD28" i="1" l="1"/>
  <c r="AD29" i="1"/>
  <c r="AD27" i="1" l="1"/>
  <c r="AD26" i="1"/>
  <c r="AD25" i="1"/>
  <c r="AD24" i="1"/>
  <c r="AD23" i="1"/>
  <c r="AD22" i="1"/>
  <c r="AD21" i="1"/>
  <c r="AD20" i="1"/>
  <c r="AD19" i="1"/>
  <c r="AD17" i="1" l="1"/>
  <c r="AD18" i="1"/>
  <c r="AD16" i="1"/>
  <c r="AD13" i="1" l="1"/>
  <c r="AD14" i="1"/>
  <c r="AD15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<sst xmlns="http://schemas.openxmlformats.org/spreadsheetml/2006/main" count="646" uniqueCount="281">
  <si>
    <t>Internal Remarks</t>
  </si>
  <si>
    <t>Transport Document</t>
  </si>
  <si>
    <t>Carrier</t>
  </si>
  <si>
    <t>Container Number</t>
  </si>
  <si>
    <t>Load Type</t>
  </si>
  <si>
    <t>Seal Number</t>
  </si>
  <si>
    <t>ETA POD</t>
  </si>
  <si>
    <t>Discharged from Vessel</t>
  </si>
  <si>
    <t>Vessel</t>
  </si>
  <si>
    <t>Vessel Voyage Number</t>
  </si>
  <si>
    <t>Train Number EU</t>
  </si>
  <si>
    <t>Dry Port</t>
  </si>
  <si>
    <t>PIN</t>
  </si>
  <si>
    <t>Commodity UA</t>
  </si>
  <si>
    <t>Hazard Class</t>
  </si>
  <si>
    <t>HS Code</t>
  </si>
  <si>
    <t>ETSNG Code</t>
  </si>
  <si>
    <t>Cargo Gross Weight</t>
  </si>
  <si>
    <t>Container Tare Weight</t>
  </si>
  <si>
    <t>Cargo Gross Weight and Tare Weight</t>
  </si>
  <si>
    <t>Packing Type</t>
  </si>
  <si>
    <t>Numbers of Packages</t>
  </si>
  <si>
    <t>Invoice Number and Date</t>
  </si>
  <si>
    <t>45G1</t>
  </si>
  <si>
    <t>Non-Hazardous</t>
  </si>
  <si>
    <t>Maersk</t>
  </si>
  <si>
    <t>Lviv - MDP - Mostyska</t>
  </si>
  <si>
    <t>Коробка / Box (Carton/CTN)</t>
  </si>
  <si>
    <t>22G1</t>
  </si>
  <si>
    <t>Мішок / Bag (Sack)</t>
  </si>
  <si>
    <t>інше / other</t>
  </si>
  <si>
    <t>ШИНИ</t>
  </si>
  <si>
    <t>MAERSK EINDHOVEN</t>
  </si>
  <si>
    <t>Dnipro-Liski</t>
  </si>
  <si>
    <t>Палет / Pallet</t>
  </si>
  <si>
    <t>-</t>
  </si>
  <si>
    <t>551W</t>
  </si>
  <si>
    <t>CARTONS</t>
  </si>
  <si>
    <t xml:space="preserve">MAERSK EINDHOVEN </t>
  </si>
  <si>
    <t>Пакет / Package</t>
  </si>
  <si>
    <t xml:space="preserve"> 551W</t>
  </si>
  <si>
    <t>Штука / Unit</t>
  </si>
  <si>
    <t>Class 8: Corrosives</t>
  </si>
  <si>
    <t>IBC контейнер  / IBC Tank</t>
  </si>
  <si>
    <t>БАТУТ</t>
  </si>
  <si>
    <t>крісло-гойдалка</t>
  </si>
  <si>
    <t>MRKU4798309</t>
  </si>
  <si>
    <t>ML-CN6117494</t>
  </si>
  <si>
    <t>JD25W022 10/12/2025</t>
  </si>
  <si>
    <t>430624</t>
  </si>
  <si>
    <t>HASU4756311</t>
  </si>
  <si>
    <t>ML-CN6123996</t>
  </si>
  <si>
    <t>336100</t>
  </si>
  <si>
    <t>JD25W019 10/12/2025</t>
  </si>
  <si>
    <t>BEAU6328102</t>
  </si>
  <si>
    <t>ML-CN4163638</t>
  </si>
  <si>
    <t>ЗАПЧАСТИНИ</t>
  </si>
  <si>
    <t>Kharkiv</t>
  </si>
  <si>
    <t>GAOU7531078</t>
  </si>
  <si>
    <t>ML-CN4047538</t>
  </si>
  <si>
    <t>TTC2508249-4 16/12/2025</t>
  </si>
  <si>
    <t>660759</t>
  </si>
  <si>
    <t>TCLU5632678</t>
  </si>
  <si>
    <t>ML-CN6167321</t>
  </si>
  <si>
    <t>TTC2508249-2 16/12/2025</t>
  </si>
  <si>
    <t>608699</t>
  </si>
  <si>
    <t>TCNU5136675</t>
  </si>
  <si>
    <t>ML-CN6123329</t>
  </si>
  <si>
    <t>SWING CHAIR
HAMMOCK
HAMMOCK FRAME</t>
  </si>
  <si>
    <t>9401719000,  9403990000, 6306901000</t>
  </si>
  <si>
    <t>25VP1003 20/12</t>
  </si>
  <si>
    <t>670366</t>
  </si>
  <si>
    <t>TGBU6792615</t>
  </si>
  <si>
    <t>ML-CN3930346</t>
  </si>
  <si>
    <t>КРІСЛО-ГОЙДАЛКА
ГАМАК
КАРМАС ГАМАК</t>
  </si>
  <si>
    <t>25VP1004 23/12</t>
  </si>
  <si>
    <t>191762</t>
  </si>
  <si>
    <t>TLLU5362837</t>
  </si>
  <si>
    <t>ML-CN6087508</t>
  </si>
  <si>
    <t>КРІСЛА</t>
  </si>
  <si>
    <t xml:space="preserve"> 9401790000,  9403200000, 3924900000, 9404904000</t>
  </si>
  <si>
    <t>DC2025092406-1  24/10</t>
  </si>
  <si>
    <t>880664</t>
  </si>
  <si>
    <t>MRSU6626322</t>
  </si>
  <si>
    <t>ML-CN4159105</t>
  </si>
  <si>
    <t>25VP0917 16/12</t>
  </si>
  <si>
    <t>892751</t>
  </si>
  <si>
    <t>MRKU5271360</t>
  </si>
  <si>
    <t>ML-CN6108561</t>
  </si>
  <si>
    <t>ПАРАСОЛЯ</t>
  </si>
  <si>
    <t>25UP4939 17/12</t>
  </si>
  <si>
    <t>757114</t>
  </si>
  <si>
    <t>HASU5009692</t>
  </si>
  <si>
    <t>ML-CN6108513</t>
  </si>
  <si>
    <t>КЕМПІНГОВЕ ЛІЖКО  ПАРАСОЛЬКА
РОЗКЛАДНЕ ЛІЖКО</t>
  </si>
  <si>
    <t xml:space="preserve"> 6601100000, 9401790000, 9401719000</t>
  </si>
  <si>
    <t>25UP4934 17/12</t>
  </si>
  <si>
    <t>292575</t>
  </si>
  <si>
    <t>TLLU4703836</t>
  </si>
  <si>
    <t>ML-CN3569897</t>
  </si>
  <si>
    <t>MRKU5148798</t>
  </si>
  <si>
    <t>ML-CN5902928</t>
  </si>
  <si>
    <t>HASU4617759</t>
  </si>
  <si>
    <t>ML-CN5901689</t>
  </si>
  <si>
    <t>Фанера ламінована, покрита коричневою плівкою, з логотипом ELMARCO, що складається з шарів шпони тополі, склеєна водостійким клеєм</t>
  </si>
  <si>
    <t>Ящик / Crate / Box</t>
  </si>
  <si>
    <t>Invoice No: CXYTE04
Date: DEC.10,2025</t>
  </si>
  <si>
    <t>053609</t>
  </si>
  <si>
    <t>570380</t>
  </si>
  <si>
    <t>320031</t>
  </si>
  <si>
    <t>МОНОЕТАНОЛАМІН MEA</t>
  </si>
  <si>
    <t>MRKU5567897</t>
  </si>
  <si>
    <t>CN5553983</t>
  </si>
  <si>
    <t xml:space="preserve">2H251106ELSE 16.12.25 </t>
  </si>
  <si>
    <t>MRSU8110248</t>
  </si>
  <si>
    <t>ML-CN5959904</t>
  </si>
  <si>
    <t>FFAU5747516</t>
  </si>
  <si>
    <t>ML-CN5959905</t>
  </si>
  <si>
    <t>251105GY250 dt 21/11/2025</t>
  </si>
  <si>
    <t>900328</t>
  </si>
  <si>
    <t>527547</t>
  </si>
  <si>
    <t>TGHU9692566</t>
  </si>
  <si>
    <t>ML-CN6097851</t>
  </si>
  <si>
    <t>549W</t>
  </si>
  <si>
    <t>Побутова техніка та запчастини</t>
  </si>
  <si>
    <t>JC2566
24.11.2025</t>
  </si>
  <si>
    <t>009547</t>
  </si>
  <si>
    <t>BSIU3482599</t>
  </si>
  <si>
    <t>ML-CN5813647</t>
  </si>
  <si>
    <t>Глутамат натрію</t>
  </si>
  <si>
    <t xml:space="preserve">25G1114IS421
Date:  NOV.14, 2025 </t>
  </si>
  <si>
    <t>786243</t>
  </si>
  <si>
    <t>MRKU4406115</t>
  </si>
  <si>
    <t>ML-CN5936163</t>
  </si>
  <si>
    <t>SC25AR890LA61-09041, 
Date: October 14,2025</t>
  </si>
  <si>
    <t>911366</t>
  </si>
  <si>
    <t>BMOU4180216</t>
  </si>
  <si>
    <t>ML-CN4325322</t>
  </si>
  <si>
    <t>СТІЛ 
СТІЛЕЦЬ</t>
  </si>
  <si>
    <t>9401390000   9403600000</t>
  </si>
  <si>
    <t>94013900   94036000</t>
  </si>
  <si>
    <t>TNZ25091660 date:12/8/2025</t>
  </si>
  <si>
    <t>745893</t>
  </si>
  <si>
    <t>CAIU4925274</t>
  </si>
  <si>
    <t>CN4658399</t>
  </si>
  <si>
    <t xml:space="preserve">552W </t>
  </si>
  <si>
    <t>Велюр</t>
  </si>
  <si>
    <t>60012200 00</t>
  </si>
  <si>
    <t xml:space="preserve">Invoice SZSD202505D  Date 2025-12-19 
</t>
  </si>
  <si>
    <t>647621</t>
  </si>
  <si>
    <t>XINU1643240</t>
  </si>
  <si>
    <t>ML-CN5550125</t>
  </si>
  <si>
    <t xml:space="preserve">КАМЕДЬ КСАНТАНУ 
 СУКРАЛОЗА </t>
  </si>
  <si>
    <t>КАМЕДЬ КСАНТАНУ - 3913900090
 СУКРАЛОЗА - 2932140000</t>
  </si>
  <si>
    <t xml:space="preserve">25G1205IS44
Date:  DEC.05, 2025 </t>
  </si>
  <si>
    <t>965671</t>
  </si>
  <si>
    <t>GAOU7769913</t>
  </si>
  <si>
    <t>ML-CN2845306</t>
  </si>
  <si>
    <t>9401390000   9403609990</t>
  </si>
  <si>
    <t>940139   940360</t>
  </si>
  <si>
    <t>TNZ25090956 date:12/9/2025</t>
  </si>
  <si>
    <t>064644</t>
  </si>
  <si>
    <t>CAAU4896609</t>
  </si>
  <si>
    <t>ML-CN4344088</t>
  </si>
  <si>
    <t>ДИТЯЧА ІГРАШКОВА МАШИНКА, ДИТЯЧЕ КРІСЛО</t>
  </si>
  <si>
    <t>JD86548-11 date 16/10/2025</t>
  </si>
  <si>
    <t xml:space="preserve">MRKU4706180  </t>
  </si>
  <si>
    <t xml:space="preserve">CN5645944 </t>
  </si>
  <si>
    <t>одноразовые пеленки</t>
  </si>
  <si>
    <t>2H251107TV 11.Dec.25</t>
  </si>
  <si>
    <t>316258</t>
  </si>
  <si>
    <t>CAAU9777686</t>
  </si>
  <si>
    <t>CN5900981</t>
  </si>
  <si>
    <t>CIPU5004599</t>
  </si>
  <si>
    <t>CN5966909</t>
  </si>
  <si>
    <t>СІЛЬСЬКОГОСПОДАРСЬКІ ШИНИ</t>
  </si>
  <si>
    <t>QHOLDM25004, 17.12.2025</t>
  </si>
  <si>
    <t>199987</t>
  </si>
  <si>
    <t>859037</t>
  </si>
  <si>
    <t>MRKU9767300</t>
  </si>
  <si>
    <t>ML-CN4369216</t>
  </si>
  <si>
    <t>Папір фільтрувальний</t>
  </si>
  <si>
    <t>AMS255701, 09.12.2025</t>
  </si>
  <si>
    <t>026250</t>
  </si>
  <si>
    <t>CAAU6516462</t>
  </si>
  <si>
    <t>CN4165644</t>
  </si>
  <si>
    <t>окремостояча ванна, душова кабіна, душові перегородки</t>
  </si>
  <si>
    <t>HS 94069000, HS 39221000, HS 94069000</t>
  </si>
  <si>
    <t>Invoice No. : S100917 від 30/09/2025</t>
  </si>
  <si>
    <t>GAOU7388898</t>
  </si>
  <si>
    <t>ML-CN3904276</t>
  </si>
  <si>
    <t>Садовий павільйон
СТІЛЕЦЬ</t>
  </si>
  <si>
    <t>6306220000
9401719000</t>
  </si>
  <si>
    <t>YHSI251006-21
12/16/ 2025</t>
  </si>
  <si>
    <t>728602</t>
  </si>
  <si>
    <t>TCNU1827220</t>
  </si>
  <si>
    <t>ML-CN6108442</t>
  </si>
  <si>
    <t>СТІЛ
ДИВАНИЙ КОМПЛЕКТ
ШЕЗЛОНГ</t>
  </si>
  <si>
    <t>9403200000
9401809099
9403700000</t>
  </si>
  <si>
    <t>YHSI251006-17
12/16/ 2025</t>
  </si>
  <si>
    <t>688010</t>
  </si>
  <si>
    <t>MRSU7151427</t>
  </si>
  <si>
    <t>ML-CN5629505</t>
  </si>
  <si>
    <t>ПЕРГАМЕНТНИЙ ПАПІР</t>
  </si>
  <si>
    <t>SHBC251002, 09.12.2025</t>
  </si>
  <si>
    <t>MRSU3021220</t>
  </si>
  <si>
    <t>ML-CN6119464</t>
  </si>
  <si>
    <t>ГОЙДАЛКА
Садовий павільйон
СТІЛ</t>
  </si>
  <si>
    <t>9506999000
6306220000
9403200000</t>
  </si>
  <si>
    <t>YHSI251006-15
12/16/ 2025</t>
  </si>
  <si>
    <t>792524</t>
  </si>
  <si>
    <t>MSKU1875764</t>
  </si>
  <si>
    <t>ML-CN6161640</t>
  </si>
  <si>
    <t>КРІСЛО-ГОЙДАЛКА
Текстиль для сидіння
Навіс</t>
  </si>
  <si>
    <t>9401719000
6307909000
6306120000</t>
  </si>
  <si>
    <t>25VP01
19-груд.-25</t>
  </si>
  <si>
    <t>593782</t>
  </si>
  <si>
    <t>252312/8102 dated 23.12.2025</t>
  </si>
  <si>
    <t>8516605000
9032108000
8544429098
8516900000</t>
  </si>
  <si>
    <t>404043
401083
417043</t>
  </si>
  <si>
    <t>пеленки
подгузники для взрослых</t>
  </si>
  <si>
    <t>4818909000
9619008900</t>
  </si>
  <si>
    <t>FPL_63</t>
  </si>
  <si>
    <t>Т1 до Dnipro-Liski (код UA110110)</t>
  </si>
  <si>
    <t>T1</t>
  </si>
  <si>
    <t>Kto przygotował</t>
  </si>
  <si>
    <t>Kto wysłał</t>
  </si>
  <si>
    <t>Stop</t>
  </si>
  <si>
    <t>Status</t>
  </si>
  <si>
    <t>adnotacja</t>
  </si>
  <si>
    <t>WPT należności</t>
  </si>
  <si>
    <t>WPT data T1</t>
  </si>
  <si>
    <t>Data zamknięcia T1</t>
  </si>
  <si>
    <t>róznica  dni</t>
  </si>
  <si>
    <t>Yard</t>
  </si>
  <si>
    <t>!CUSTOMS IMPORT PERMISSION</t>
  </si>
  <si>
    <t>SM</t>
  </si>
  <si>
    <t>26PL322080NS7TEYM8</t>
  </si>
  <si>
    <t>26PL322080NS7TJAM5</t>
  </si>
  <si>
    <t>CHORZÓW/K</t>
  </si>
  <si>
    <t>CHORZÓW/PP</t>
  </si>
  <si>
    <t>CHORZÓW/AG</t>
  </si>
  <si>
    <t>CHORZÓW/PK</t>
  </si>
  <si>
    <t>26PL322080NS80CGM5</t>
  </si>
  <si>
    <t>26PL322080NS806JM0</t>
  </si>
  <si>
    <t>26PL322080NS818TM7</t>
  </si>
  <si>
    <t>26PL322080NS815EM8</t>
  </si>
  <si>
    <t>26PL322080NS818RM9</t>
  </si>
  <si>
    <t>26PL322080NS8121M7</t>
  </si>
  <si>
    <t>26PL322080NS81YBM6</t>
  </si>
  <si>
    <t>26PL322080NS822FM0</t>
  </si>
  <si>
    <t>26PL322080NS8278M0</t>
  </si>
  <si>
    <t>26PL322080NS827TM0</t>
  </si>
  <si>
    <t>26PL322080NS8257M2</t>
  </si>
  <si>
    <t>CHORZÓW/KB</t>
  </si>
  <si>
    <t>26PL322080NS8432M2</t>
  </si>
  <si>
    <t>26PL322080NS83STM1</t>
  </si>
  <si>
    <t>26PL322080NS83R7M9</t>
  </si>
  <si>
    <t>26PL322080NS84R8M5</t>
  </si>
  <si>
    <t>26PL322080NS84MUM0</t>
  </si>
  <si>
    <t>26PL322080NS84FRM7</t>
  </si>
  <si>
    <t>26PL322080NS84XRM8</t>
  </si>
  <si>
    <t>26PL322080NS856TM7</t>
  </si>
  <si>
    <t>26PL322080NS85RRM3</t>
  </si>
  <si>
    <t>26PL322080NS85T4M5</t>
  </si>
  <si>
    <t>26PL322080NS85D0M1</t>
  </si>
  <si>
    <t>26PL322080NS85M3M4</t>
  </si>
  <si>
    <t>26PL322080NS85T2M7</t>
  </si>
  <si>
    <t>POTWIERDZENIE KODU CN</t>
  </si>
  <si>
    <t>26PL322080NS85ZHM4</t>
  </si>
  <si>
    <t>26PL322080NS85YDM3</t>
  </si>
  <si>
    <t>26PL322080NS862IM7</t>
  </si>
  <si>
    <t>26PL322080NS85TXM6</t>
  </si>
  <si>
    <t>26PL322080NS85SGM9</t>
  </si>
  <si>
    <t>KONTROLA26PL322080NS85XVM0</t>
  </si>
  <si>
    <t>!CUSTOMS IMPORT PERMISSION,SCANNING HOLD</t>
  </si>
  <si>
    <t>25PL322080NSQ7KXM6</t>
  </si>
  <si>
    <t>Departed</t>
  </si>
  <si>
    <t>rozbicie licenzja  aut</t>
  </si>
  <si>
    <t>kontrola  UZ</t>
  </si>
  <si>
    <t>SKANOWANIE  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</si>
</sst>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9"/>
      <color theme="1"/>
      <name val="Segoe UI"/>
      <family val="2"/>
      <charset val="1"/>
    </font>
    <font>
      <sz val="10"/>
      <name val="Calibri"/>
      <family val="2"/>
      <charset val="204"/>
      <scheme val="minor"/>
    </font>
    <font>
      <b/>
      <sz val="11"/>
      <name val="Calibri"/>
      <family val="2"/>
      <charset val="238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7CEEB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0"/>
  </cellStyleXfs>
  <cellXfs count="25">
    <xf numFmtId="0" fontId="0" fillId="0" borderId="0" xfId="0"/>
    <xf numFmtId="3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0" fillId="34" borderId="0" xfId="0" applyFill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 vertical="center"/>
    </xf>
    <xf numFmtId="0" fontId="0" fillId="33" borderId="0" xfId="0" applyFill="1"/>
    <xf numFmtId="0" fontId="18" fillId="33" borderId="0" xfId="0" applyFont="1" applyFill="1"/>
    <xf numFmtId="0" fontId="0" fillId="34" borderId="10" xfId="0" applyFill="1" applyBorder="1"/>
    <xf numFmtId="0" fontId="18" fillId="33" borderId="0" xfId="0" applyFont="1" applyFill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wrapText="1"/>
    </xf>
    <xf numFmtId="0" fontId="0" fillId="0" borderId="0" xfId="0" applyAlignment="1">
      <alignment wrapText="1"/>
    </xf>
    <xf numFmtId="0" fontId="0" fillId="33" borderId="10" xfId="0" applyFill="1" applyBorder="1" applyAlignment="1">
      <alignment horizontal="center"/>
    </xf>
    <xf numFmtId="0" fontId="23" fillId="33" borderId="10" xfId="0" applyFont="1" applyFill="1" applyBorder="1" applyAlignment="1">
      <alignment horizontal="center"/>
    </xf>
    <xf numFmtId="0" fontId="0" fillId="0" borderId="10" xfId="0" applyBorder="1"/>
    <xf numFmtId="0" fontId="0" fillId="33" borderId="10" xfId="0" applyFill="1" applyBorder="1"/>
    <xf numFmtId="14" fontId="0" fillId="0" borderId="10" xfId="0" applyNumberFormat="1" applyBorder="1"/>
    <xf numFmtId="0" fontId="18" fillId="33" borderId="10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4" fillId="33" borderId="10" xfId="0" applyFont="1" applyFill="1" applyBorder="1"/>
    <xf numFmtId="0" fontId="23" fillId="33" borderId="10" xfId="0" applyFont="1" applyFill="1" applyBorder="1"/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4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  <cellStyle name="Обычный 2" xfId="43" xr:uid="{1553AA66-F78D-4CA0-B17D-10DA02CF4473}"/>
    <cellStyle name="Обычный 3" xfId="42" xr:uid="{CA3C0A64-B292-4F59-9490-AD651DF9719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84"/>
  <sheetViews>
    <sheetView tabSelected="1" topLeftCell="C1" zoomScale="80" zoomScaleNormal="80" workbookViewId="0">
      <pane ySplit="1" topLeftCell="A21" activePane="bottomLeft" state="frozen"/>
      <selection pane="bottomLeft" activeCell="G41" sqref="G41"/>
    </sheetView>
  </sheetViews>
  <sheetFormatPr defaultRowHeight="14.4" x14ac:dyDescent="0.3"/>
  <cols>
    <col min="1" max="1" width="32.6640625" customWidth="1"/>
    <col min="2" max="2" width="21.5546875" customWidth="1"/>
    <col min="3" max="3" width="9.109375" customWidth="1"/>
    <col min="4" max="4" width="19.5546875" customWidth="1"/>
    <col min="5" max="5" width="33.6640625" customWidth="1"/>
    <col min="6" max="9" width="19.5546875" customWidth="1"/>
    <col min="10" max="10" width="27.77734375" customWidth="1"/>
    <col min="11" max="14" width="19.5546875" customWidth="1"/>
    <col min="15" max="15" width="12" customWidth="1"/>
    <col min="16" max="16" width="14.44140625" customWidth="1"/>
    <col min="17" max="17" width="14.6640625" customWidth="1"/>
    <col min="18" max="18" width="17.6640625" customWidth="1"/>
    <col min="19" max="19" width="19.44140625" customWidth="1"/>
    <col min="20" max="20" width="23.5546875" customWidth="1"/>
    <col min="21" max="21" width="13" customWidth="1"/>
    <col min="22" max="22" width="29.5546875" customWidth="1"/>
    <col min="23" max="23" width="13" customWidth="1"/>
    <col min="24" max="24" width="49.33203125" style="13" customWidth="1"/>
    <col min="25" max="25" width="14.33203125" customWidth="1"/>
    <col min="26" max="26" width="34.5546875" customWidth="1"/>
    <col min="27" max="28" width="15.33203125" customWidth="1"/>
    <col min="29" max="29" width="19.6640625" customWidth="1"/>
    <col min="30" max="30" width="26.109375" customWidth="1"/>
    <col min="31" max="31" width="13.109375" customWidth="1"/>
    <col min="32" max="32" width="15.6640625" customWidth="1"/>
    <col min="33" max="33" width="46.5546875" customWidth="1"/>
  </cols>
  <sheetData>
    <row r="1" spans="1:33" s="3" customFormat="1" ht="18.600000000000001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10" t="s">
        <v>224</v>
      </c>
      <c r="F1" s="11" t="s">
        <v>225</v>
      </c>
      <c r="G1" s="11" t="s">
        <v>226</v>
      </c>
      <c r="H1" s="11" t="s">
        <v>227</v>
      </c>
      <c r="I1" s="11" t="s">
        <v>228</v>
      </c>
      <c r="J1" s="11" t="s">
        <v>229</v>
      </c>
      <c r="K1" s="11" t="s">
        <v>230</v>
      </c>
      <c r="L1" s="11" t="s">
        <v>231</v>
      </c>
      <c r="M1" s="11" t="s">
        <v>232</v>
      </c>
      <c r="N1" s="11" t="s">
        <v>233</v>
      </c>
      <c r="O1" s="8" t="s">
        <v>4</v>
      </c>
      <c r="P1" s="8" t="s">
        <v>5</v>
      </c>
      <c r="Q1" s="8" t="s">
        <v>6</v>
      </c>
      <c r="R1" s="8" t="s">
        <v>7</v>
      </c>
      <c r="S1" s="8" t="s">
        <v>8</v>
      </c>
      <c r="T1" s="8" t="s">
        <v>9</v>
      </c>
      <c r="U1" s="8" t="s">
        <v>10</v>
      </c>
      <c r="V1" s="8" t="s">
        <v>11</v>
      </c>
      <c r="W1" s="8" t="s">
        <v>12</v>
      </c>
      <c r="X1" s="12" t="s">
        <v>13</v>
      </c>
      <c r="Y1" s="8" t="s">
        <v>14</v>
      </c>
      <c r="Z1" s="8" t="s">
        <v>15</v>
      </c>
      <c r="AA1" s="8" t="s">
        <v>16</v>
      </c>
      <c r="AB1" s="8" t="s">
        <v>17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</row>
    <row r="2" spans="1:33" hidden="1" x14ac:dyDescent="0.3">
      <c r="A2" s="16"/>
      <c r="B2" s="16">
        <v>262612111</v>
      </c>
      <c r="C2" s="16" t="s">
        <v>25</v>
      </c>
      <c r="D2" s="17" t="s">
        <v>46</v>
      </c>
      <c r="E2" s="16" t="s">
        <v>237</v>
      </c>
      <c r="F2" s="17" t="s">
        <v>236</v>
      </c>
      <c r="G2" s="17" t="s">
        <v>236</v>
      </c>
      <c r="H2" s="17"/>
      <c r="I2" s="17" t="s">
        <v>234</v>
      </c>
      <c r="J2" s="17"/>
      <c r="K2" s="17"/>
      <c r="L2" s="17"/>
      <c r="M2" s="17"/>
      <c r="N2" s="17"/>
      <c r="O2" s="16" t="s">
        <v>23</v>
      </c>
      <c r="P2" s="16" t="s">
        <v>47</v>
      </c>
      <c r="Q2" s="18">
        <v>46077</v>
      </c>
      <c r="R2" s="16"/>
      <c r="S2" s="16" t="s">
        <v>32</v>
      </c>
      <c r="T2" s="16" t="s">
        <v>36</v>
      </c>
      <c r="U2" s="16" t="s">
        <v>222</v>
      </c>
      <c r="V2" s="16" t="s">
        <v>26</v>
      </c>
      <c r="W2" s="16" t="s">
        <v>49</v>
      </c>
      <c r="X2" s="16" t="s">
        <v>45</v>
      </c>
      <c r="Y2" s="16" t="s">
        <v>24</v>
      </c>
      <c r="Z2" s="16">
        <v>9401719000</v>
      </c>
      <c r="AA2" s="16"/>
      <c r="AB2" s="16">
        <v>10192</v>
      </c>
      <c r="AC2" s="16">
        <v>3810</v>
      </c>
      <c r="AD2" s="16">
        <f t="shared" ref="AD2:AD4" si="0">AB2+AC2</f>
        <v>14002</v>
      </c>
      <c r="AE2" s="16" t="s">
        <v>27</v>
      </c>
      <c r="AF2" s="16">
        <v>196</v>
      </c>
      <c r="AG2" s="16" t="s">
        <v>48</v>
      </c>
    </row>
    <row r="3" spans="1:33" hidden="1" x14ac:dyDescent="0.3">
      <c r="A3" s="16"/>
      <c r="B3" s="16">
        <v>262612117</v>
      </c>
      <c r="C3" s="16" t="s">
        <v>25</v>
      </c>
      <c r="D3" s="17" t="s">
        <v>50</v>
      </c>
      <c r="E3" s="16" t="s">
        <v>238</v>
      </c>
      <c r="F3" s="17" t="s">
        <v>236</v>
      </c>
      <c r="G3" s="17" t="s">
        <v>236</v>
      </c>
      <c r="H3" s="17"/>
      <c r="I3" s="17" t="s">
        <v>234</v>
      </c>
      <c r="J3" s="17"/>
      <c r="K3" s="17"/>
      <c r="L3" s="17"/>
      <c r="M3" s="17"/>
      <c r="N3" s="17"/>
      <c r="O3" s="16" t="s">
        <v>23</v>
      </c>
      <c r="P3" s="16" t="s">
        <v>51</v>
      </c>
      <c r="Q3" s="18">
        <v>46077</v>
      </c>
      <c r="R3" s="16"/>
      <c r="S3" s="16" t="s">
        <v>32</v>
      </c>
      <c r="T3" s="16" t="s">
        <v>36</v>
      </c>
      <c r="U3" s="16" t="s">
        <v>222</v>
      </c>
      <c r="V3" s="16" t="s">
        <v>26</v>
      </c>
      <c r="W3" s="16" t="s">
        <v>52</v>
      </c>
      <c r="X3" s="16" t="s">
        <v>45</v>
      </c>
      <c r="Y3" s="16" t="s">
        <v>24</v>
      </c>
      <c r="Z3" s="16">
        <v>9401719000</v>
      </c>
      <c r="AA3" s="16"/>
      <c r="AB3" s="16">
        <v>9314.7999999999993</v>
      </c>
      <c r="AC3" s="16">
        <v>3860</v>
      </c>
      <c r="AD3" s="16">
        <f t="shared" si="0"/>
        <v>13174.8</v>
      </c>
      <c r="AE3" s="16" t="s">
        <v>27</v>
      </c>
      <c r="AF3" s="16">
        <v>232</v>
      </c>
      <c r="AG3" s="16" t="s">
        <v>53</v>
      </c>
    </row>
    <row r="4" spans="1:33" hidden="1" x14ac:dyDescent="0.3">
      <c r="A4" s="16"/>
      <c r="B4" s="16">
        <v>262696762</v>
      </c>
      <c r="C4" s="16" t="s">
        <v>25</v>
      </c>
      <c r="D4" s="17" t="s">
        <v>54</v>
      </c>
      <c r="E4" s="16" t="s">
        <v>247</v>
      </c>
      <c r="F4" s="17" t="s">
        <v>236</v>
      </c>
      <c r="G4" s="17" t="s">
        <v>236</v>
      </c>
      <c r="H4" s="17"/>
      <c r="I4" s="17" t="s">
        <v>234</v>
      </c>
      <c r="J4" s="17"/>
      <c r="K4" s="17"/>
      <c r="L4" s="17"/>
      <c r="M4" s="17"/>
      <c r="N4" s="17"/>
      <c r="O4" s="16" t="s">
        <v>23</v>
      </c>
      <c r="P4" s="16" t="s">
        <v>55</v>
      </c>
      <c r="Q4" s="18">
        <v>46077</v>
      </c>
      <c r="R4" s="16"/>
      <c r="S4" s="2" t="s">
        <v>32</v>
      </c>
      <c r="T4" s="2" t="s">
        <v>36</v>
      </c>
      <c r="U4" s="16" t="s">
        <v>222</v>
      </c>
      <c r="V4" s="16" t="s">
        <v>57</v>
      </c>
      <c r="W4" s="16">
        <v>213637</v>
      </c>
      <c r="X4" s="16" t="s">
        <v>56</v>
      </c>
      <c r="Y4" s="16" t="s">
        <v>24</v>
      </c>
      <c r="Z4" s="1">
        <v>84821090</v>
      </c>
      <c r="AA4" s="16"/>
      <c r="AB4" s="16">
        <v>27530</v>
      </c>
      <c r="AC4" s="16">
        <v>3800</v>
      </c>
      <c r="AD4" s="16">
        <f t="shared" si="0"/>
        <v>31330</v>
      </c>
      <c r="AE4" s="16" t="s">
        <v>37</v>
      </c>
      <c r="AF4" s="16">
        <v>1383</v>
      </c>
      <c r="AG4" s="19" t="s">
        <v>217</v>
      </c>
    </row>
    <row r="5" spans="1:33" hidden="1" x14ac:dyDescent="0.3">
      <c r="A5" s="16"/>
      <c r="B5" s="16">
        <v>262068210</v>
      </c>
      <c r="C5" s="16" t="s">
        <v>25</v>
      </c>
      <c r="D5" s="17" t="s">
        <v>58</v>
      </c>
      <c r="E5" s="16" t="s">
        <v>243</v>
      </c>
      <c r="F5" s="17" t="s">
        <v>240</v>
      </c>
      <c r="G5" s="17" t="s">
        <v>239</v>
      </c>
      <c r="H5" s="17"/>
      <c r="I5" s="17" t="s">
        <v>234</v>
      </c>
      <c r="J5" s="17"/>
      <c r="K5" s="17"/>
      <c r="L5" s="17"/>
      <c r="M5" s="17"/>
      <c r="N5" s="17"/>
      <c r="O5" s="16" t="s">
        <v>23</v>
      </c>
      <c r="P5" s="16" t="s">
        <v>59</v>
      </c>
      <c r="Q5" s="18">
        <v>46077</v>
      </c>
      <c r="R5" s="16"/>
      <c r="S5" s="16" t="s">
        <v>32</v>
      </c>
      <c r="T5" s="16" t="s">
        <v>36</v>
      </c>
      <c r="U5" s="16" t="s">
        <v>222</v>
      </c>
      <c r="V5" s="16" t="s">
        <v>26</v>
      </c>
      <c r="W5" s="16" t="s">
        <v>61</v>
      </c>
      <c r="X5" s="16" t="s">
        <v>44</v>
      </c>
      <c r="Y5" s="16" t="s">
        <v>24</v>
      </c>
      <c r="Z5" s="16">
        <v>9506919000</v>
      </c>
      <c r="AA5" s="16"/>
      <c r="AB5" s="16">
        <v>18023.900000000001</v>
      </c>
      <c r="AC5" s="16">
        <v>3750</v>
      </c>
      <c r="AD5" s="16">
        <f t="shared" ref="AD5:AD28" si="1">AB5+AC5</f>
        <v>21773.9</v>
      </c>
      <c r="AE5" s="16" t="s">
        <v>27</v>
      </c>
      <c r="AF5" s="16">
        <v>751</v>
      </c>
      <c r="AG5" s="16" t="s">
        <v>60</v>
      </c>
    </row>
    <row r="6" spans="1:33" hidden="1" x14ac:dyDescent="0.3">
      <c r="A6" s="16"/>
      <c r="B6" s="16">
        <v>262596071</v>
      </c>
      <c r="C6" s="16" t="s">
        <v>25</v>
      </c>
      <c r="D6" s="17" t="s">
        <v>62</v>
      </c>
      <c r="E6" s="16" t="s">
        <v>244</v>
      </c>
      <c r="F6" s="17" t="s">
        <v>240</v>
      </c>
      <c r="G6" s="17" t="s">
        <v>239</v>
      </c>
      <c r="H6" s="17"/>
      <c r="I6" s="17" t="s">
        <v>234</v>
      </c>
      <c r="J6" s="17"/>
      <c r="K6" s="17"/>
      <c r="L6" s="17"/>
      <c r="M6" s="17"/>
      <c r="N6" s="17"/>
      <c r="O6" s="16" t="s">
        <v>23</v>
      </c>
      <c r="P6" s="16" t="s">
        <v>63</v>
      </c>
      <c r="Q6" s="18">
        <v>46077</v>
      </c>
      <c r="R6" s="16"/>
      <c r="S6" s="16" t="s">
        <v>32</v>
      </c>
      <c r="T6" s="16" t="s">
        <v>36</v>
      </c>
      <c r="U6" s="16" t="s">
        <v>222</v>
      </c>
      <c r="V6" s="16" t="s">
        <v>26</v>
      </c>
      <c r="W6" s="16" t="s">
        <v>65</v>
      </c>
      <c r="X6" s="16" t="s">
        <v>44</v>
      </c>
      <c r="Y6" s="16" t="s">
        <v>24</v>
      </c>
      <c r="Z6" s="16">
        <v>9506919000</v>
      </c>
      <c r="AA6" s="16"/>
      <c r="AB6" s="16">
        <v>17690.560000000001</v>
      </c>
      <c r="AC6" s="16">
        <v>3880</v>
      </c>
      <c r="AD6" s="16">
        <f t="shared" si="1"/>
        <v>21570.560000000001</v>
      </c>
      <c r="AE6" s="16" t="s">
        <v>27</v>
      </c>
      <c r="AF6" s="16">
        <v>681</v>
      </c>
      <c r="AG6" s="16" t="s">
        <v>64</v>
      </c>
    </row>
    <row r="7" spans="1:33" hidden="1" x14ac:dyDescent="0.3">
      <c r="A7" s="16"/>
      <c r="B7" s="16">
        <v>262068604</v>
      </c>
      <c r="C7" s="16" t="s">
        <v>25</v>
      </c>
      <c r="D7" s="17" t="s">
        <v>66</v>
      </c>
      <c r="E7" s="16" t="s">
        <v>245</v>
      </c>
      <c r="F7" s="17" t="s">
        <v>241</v>
      </c>
      <c r="G7" s="17" t="s">
        <v>241</v>
      </c>
      <c r="H7" s="17"/>
      <c r="I7" s="17" t="s">
        <v>234</v>
      </c>
      <c r="J7" s="17"/>
      <c r="K7" s="17"/>
      <c r="L7" s="17"/>
      <c r="M7" s="17"/>
      <c r="N7" s="17"/>
      <c r="O7" s="16" t="s">
        <v>23</v>
      </c>
      <c r="P7" s="16" t="s">
        <v>67</v>
      </c>
      <c r="Q7" s="18">
        <v>46077</v>
      </c>
      <c r="R7" s="16"/>
      <c r="S7" s="16" t="s">
        <v>32</v>
      </c>
      <c r="T7" s="16" t="s">
        <v>36</v>
      </c>
      <c r="U7" s="16" t="s">
        <v>222</v>
      </c>
      <c r="V7" s="16" t="s">
        <v>26</v>
      </c>
      <c r="W7" s="16" t="s">
        <v>71</v>
      </c>
      <c r="X7" s="16" t="s">
        <v>68</v>
      </c>
      <c r="Y7" s="16" t="s">
        <v>24</v>
      </c>
      <c r="Z7" s="16">
        <v>9506919000</v>
      </c>
      <c r="AA7" s="16"/>
      <c r="AB7" s="16">
        <v>9168.14</v>
      </c>
      <c r="AC7" s="16">
        <v>3840</v>
      </c>
      <c r="AD7" s="16">
        <f t="shared" si="1"/>
        <v>13008.14</v>
      </c>
      <c r="AE7" s="16" t="s">
        <v>27</v>
      </c>
      <c r="AF7" s="16">
        <v>2151</v>
      </c>
      <c r="AG7" s="16" t="s">
        <v>70</v>
      </c>
    </row>
    <row r="8" spans="1:33" hidden="1" x14ac:dyDescent="0.3">
      <c r="A8" s="16"/>
      <c r="B8" s="16">
        <v>262068562</v>
      </c>
      <c r="C8" s="16" t="s">
        <v>25</v>
      </c>
      <c r="D8" s="17" t="s">
        <v>72</v>
      </c>
      <c r="E8" s="16" t="s">
        <v>248</v>
      </c>
      <c r="F8" s="17" t="s">
        <v>241</v>
      </c>
      <c r="G8" s="17" t="s">
        <v>241</v>
      </c>
      <c r="H8" s="17"/>
      <c r="I8" s="17" t="s">
        <v>234</v>
      </c>
      <c r="J8" s="17"/>
      <c r="K8" s="17"/>
      <c r="L8" s="17"/>
      <c r="M8" s="17"/>
      <c r="N8" s="17"/>
      <c r="O8" s="16" t="s">
        <v>23</v>
      </c>
      <c r="P8" s="16" t="s">
        <v>73</v>
      </c>
      <c r="Q8" s="18">
        <v>46077</v>
      </c>
      <c r="R8" s="16"/>
      <c r="S8" s="16" t="s">
        <v>32</v>
      </c>
      <c r="T8" s="16" t="s">
        <v>36</v>
      </c>
      <c r="U8" s="16" t="s">
        <v>222</v>
      </c>
      <c r="V8" s="16" t="s">
        <v>26</v>
      </c>
      <c r="W8" s="16" t="s">
        <v>76</v>
      </c>
      <c r="X8" s="16" t="s">
        <v>74</v>
      </c>
      <c r="Y8" s="16" t="s">
        <v>24</v>
      </c>
      <c r="Z8" s="20" t="s">
        <v>69</v>
      </c>
      <c r="AA8" s="16"/>
      <c r="AB8" s="16">
        <v>9142.14</v>
      </c>
      <c r="AC8" s="16">
        <v>3700</v>
      </c>
      <c r="AD8" s="16">
        <f t="shared" si="1"/>
        <v>12842.14</v>
      </c>
      <c r="AE8" s="16" t="s">
        <v>27</v>
      </c>
      <c r="AF8" s="16">
        <v>2141</v>
      </c>
      <c r="AG8" s="16" t="s">
        <v>75</v>
      </c>
    </row>
    <row r="9" spans="1:33" hidden="1" x14ac:dyDescent="0.3">
      <c r="A9" s="16"/>
      <c r="B9" s="16">
        <v>262670650</v>
      </c>
      <c r="C9" s="16" t="s">
        <v>25</v>
      </c>
      <c r="D9" s="17" t="s">
        <v>77</v>
      </c>
      <c r="E9" s="16" t="s">
        <v>246</v>
      </c>
      <c r="F9" s="17" t="s">
        <v>240</v>
      </c>
      <c r="G9" s="17" t="s">
        <v>239</v>
      </c>
      <c r="H9" s="17"/>
      <c r="I9" s="17" t="s">
        <v>234</v>
      </c>
      <c r="J9" s="17"/>
      <c r="K9" s="17"/>
      <c r="L9" s="17"/>
      <c r="M9" s="17"/>
      <c r="N9" s="17"/>
      <c r="O9" s="16" t="s">
        <v>23</v>
      </c>
      <c r="P9" s="16" t="s">
        <v>78</v>
      </c>
      <c r="Q9" s="18">
        <v>46077</v>
      </c>
      <c r="R9" s="16"/>
      <c r="S9" s="16" t="s">
        <v>32</v>
      </c>
      <c r="T9" s="16" t="s">
        <v>36</v>
      </c>
      <c r="U9" s="16" t="s">
        <v>222</v>
      </c>
      <c r="V9" s="16" t="s">
        <v>26</v>
      </c>
      <c r="W9" s="16" t="s">
        <v>82</v>
      </c>
      <c r="X9" s="16" t="s">
        <v>79</v>
      </c>
      <c r="Y9" s="16" t="s">
        <v>24</v>
      </c>
      <c r="Z9" s="16" t="s">
        <v>80</v>
      </c>
      <c r="AA9" s="16"/>
      <c r="AB9" s="16">
        <v>7707</v>
      </c>
      <c r="AC9" s="16">
        <v>3700</v>
      </c>
      <c r="AD9" s="16">
        <f t="shared" si="1"/>
        <v>11407</v>
      </c>
      <c r="AE9" s="16" t="s">
        <v>27</v>
      </c>
      <c r="AF9" s="16">
        <v>618</v>
      </c>
      <c r="AG9" s="16" t="s">
        <v>81</v>
      </c>
    </row>
    <row r="10" spans="1:33" hidden="1" x14ac:dyDescent="0.3">
      <c r="A10" s="16"/>
      <c r="B10" s="16">
        <v>262670589</v>
      </c>
      <c r="C10" s="16" t="s">
        <v>25</v>
      </c>
      <c r="D10" s="17" t="s">
        <v>83</v>
      </c>
      <c r="E10" s="16" t="s">
        <v>255</v>
      </c>
      <c r="F10" s="17" t="s">
        <v>240</v>
      </c>
      <c r="G10" s="17" t="s">
        <v>239</v>
      </c>
      <c r="H10" s="17"/>
      <c r="I10" s="17" t="s">
        <v>234</v>
      </c>
      <c r="J10" s="21"/>
      <c r="K10" s="17"/>
      <c r="L10" s="17"/>
      <c r="M10" s="17"/>
      <c r="N10" s="17"/>
      <c r="O10" s="16" t="s">
        <v>23</v>
      </c>
      <c r="P10" s="16" t="s">
        <v>84</v>
      </c>
      <c r="Q10" s="18">
        <v>46077</v>
      </c>
      <c r="R10" s="16"/>
      <c r="S10" s="16" t="s">
        <v>32</v>
      </c>
      <c r="T10" s="16" t="s">
        <v>36</v>
      </c>
      <c r="U10" s="16" t="s">
        <v>222</v>
      </c>
      <c r="V10" s="16" t="s">
        <v>26</v>
      </c>
      <c r="W10" s="16" t="s">
        <v>86</v>
      </c>
      <c r="X10" s="16" t="s">
        <v>45</v>
      </c>
      <c r="Y10" s="16" t="s">
        <v>24</v>
      </c>
      <c r="Z10" s="16">
        <v>9401719000</v>
      </c>
      <c r="AA10" s="16"/>
      <c r="AB10" s="16">
        <v>10301.799999999999</v>
      </c>
      <c r="AC10" s="16">
        <v>3720</v>
      </c>
      <c r="AD10" s="16">
        <f t="shared" si="1"/>
        <v>14021.8</v>
      </c>
      <c r="AE10" s="16" t="s">
        <v>27</v>
      </c>
      <c r="AF10" s="16">
        <v>380</v>
      </c>
      <c r="AG10" s="16" t="s">
        <v>85</v>
      </c>
    </row>
    <row r="11" spans="1:33" hidden="1" x14ac:dyDescent="0.3">
      <c r="A11" s="16"/>
      <c r="B11" s="16">
        <v>262670003</v>
      </c>
      <c r="C11" s="16" t="s">
        <v>25</v>
      </c>
      <c r="D11" s="17" t="s">
        <v>87</v>
      </c>
      <c r="E11" s="16" t="s">
        <v>256</v>
      </c>
      <c r="F11" s="17" t="s">
        <v>240</v>
      </c>
      <c r="G11" s="17" t="s">
        <v>239</v>
      </c>
      <c r="H11" s="17"/>
      <c r="I11" s="17" t="s">
        <v>234</v>
      </c>
      <c r="J11" s="22"/>
      <c r="K11" s="17"/>
      <c r="L11" s="17"/>
      <c r="M11" s="17"/>
      <c r="N11" s="17"/>
      <c r="O11" s="16" t="s">
        <v>23</v>
      </c>
      <c r="P11" s="16" t="s">
        <v>88</v>
      </c>
      <c r="Q11" s="18">
        <v>46077</v>
      </c>
      <c r="R11" s="16"/>
      <c r="S11" s="16" t="s">
        <v>32</v>
      </c>
      <c r="T11" s="16" t="s">
        <v>36</v>
      </c>
      <c r="U11" s="16" t="s">
        <v>222</v>
      </c>
      <c r="V11" s="16" t="s">
        <v>26</v>
      </c>
      <c r="W11" s="16" t="s">
        <v>91</v>
      </c>
      <c r="X11" s="16" t="s">
        <v>89</v>
      </c>
      <c r="Y11" s="16" t="s">
        <v>24</v>
      </c>
      <c r="Z11" s="16">
        <v>6601100000</v>
      </c>
      <c r="AA11" s="16"/>
      <c r="AB11" s="16">
        <v>14004</v>
      </c>
      <c r="AC11" s="16">
        <v>3810</v>
      </c>
      <c r="AD11" s="16">
        <f t="shared" si="1"/>
        <v>17814</v>
      </c>
      <c r="AE11" s="16" t="s">
        <v>27</v>
      </c>
      <c r="AF11" s="16">
        <v>1565</v>
      </c>
      <c r="AG11" s="16" t="s">
        <v>90</v>
      </c>
    </row>
    <row r="12" spans="1:33" hidden="1" x14ac:dyDescent="0.3">
      <c r="A12" s="16"/>
      <c r="B12" s="16">
        <v>262885697</v>
      </c>
      <c r="C12" s="16" t="s">
        <v>25</v>
      </c>
      <c r="D12" s="17" t="s">
        <v>92</v>
      </c>
      <c r="E12" s="16" t="s">
        <v>249</v>
      </c>
      <c r="F12" s="17" t="s">
        <v>240</v>
      </c>
      <c r="G12" s="17" t="s">
        <v>239</v>
      </c>
      <c r="H12" s="17"/>
      <c r="I12" s="17" t="s">
        <v>234</v>
      </c>
      <c r="J12" s="17"/>
      <c r="K12" s="17"/>
      <c r="L12" s="17"/>
      <c r="M12" s="17"/>
      <c r="N12" s="17"/>
      <c r="O12" s="16" t="s">
        <v>23</v>
      </c>
      <c r="P12" s="16" t="s">
        <v>93</v>
      </c>
      <c r="Q12" s="18">
        <v>46077</v>
      </c>
      <c r="R12" s="16"/>
      <c r="S12" s="16" t="s">
        <v>32</v>
      </c>
      <c r="T12" s="16" t="s">
        <v>36</v>
      </c>
      <c r="U12" s="16" t="s">
        <v>222</v>
      </c>
      <c r="V12" s="16" t="s">
        <v>26</v>
      </c>
      <c r="W12" s="16" t="s">
        <v>97</v>
      </c>
      <c r="X12" s="16" t="s">
        <v>94</v>
      </c>
      <c r="Y12" s="16" t="s">
        <v>24</v>
      </c>
      <c r="Z12" s="16" t="s">
        <v>95</v>
      </c>
      <c r="AA12" s="16"/>
      <c r="AB12" s="16">
        <v>8410</v>
      </c>
      <c r="AC12" s="16">
        <v>3860</v>
      </c>
      <c r="AD12" s="16">
        <f t="shared" si="1"/>
        <v>12270</v>
      </c>
      <c r="AE12" s="16" t="s">
        <v>27</v>
      </c>
      <c r="AF12" s="16">
        <v>1114</v>
      </c>
      <c r="AG12" s="16" t="s">
        <v>96</v>
      </c>
    </row>
    <row r="13" spans="1:33" hidden="1" x14ac:dyDescent="0.3">
      <c r="A13" s="16"/>
      <c r="B13" s="16">
        <v>262884721</v>
      </c>
      <c r="C13" s="16" t="s">
        <v>25</v>
      </c>
      <c r="D13" s="17" t="s">
        <v>98</v>
      </c>
      <c r="E13" s="16" t="s">
        <v>270</v>
      </c>
      <c r="F13" s="17" t="s">
        <v>242</v>
      </c>
      <c r="G13" s="17"/>
      <c r="H13" s="17"/>
      <c r="I13" s="17" t="s">
        <v>234</v>
      </c>
      <c r="J13" s="17"/>
      <c r="K13" s="17"/>
      <c r="L13" s="17"/>
      <c r="M13" s="17"/>
      <c r="N13" s="17"/>
      <c r="O13" s="16" t="s">
        <v>23</v>
      </c>
      <c r="P13" s="16" t="s">
        <v>99</v>
      </c>
      <c r="Q13" s="18">
        <v>46077</v>
      </c>
      <c r="R13" s="16"/>
      <c r="S13" s="16" t="s">
        <v>32</v>
      </c>
      <c r="T13" s="16" t="s">
        <v>36</v>
      </c>
      <c r="U13" s="16" t="s">
        <v>222</v>
      </c>
      <c r="V13" s="16" t="s">
        <v>26</v>
      </c>
      <c r="W13" s="16" t="s">
        <v>108</v>
      </c>
      <c r="X13" s="16" t="s">
        <v>104</v>
      </c>
      <c r="Y13" s="16" t="s">
        <v>24</v>
      </c>
      <c r="Z13" s="16">
        <v>4412339000</v>
      </c>
      <c r="AA13" s="16"/>
      <c r="AB13" s="16">
        <v>28000</v>
      </c>
      <c r="AC13" s="16">
        <v>3700</v>
      </c>
      <c r="AD13" s="16">
        <f t="shared" si="1"/>
        <v>31700</v>
      </c>
      <c r="AE13" s="16" t="s">
        <v>105</v>
      </c>
      <c r="AF13" s="16">
        <v>18</v>
      </c>
      <c r="AG13" s="16" t="s">
        <v>106</v>
      </c>
    </row>
    <row r="14" spans="1:33" hidden="1" x14ac:dyDescent="0.3">
      <c r="A14" s="16"/>
      <c r="B14" s="16">
        <v>262884721</v>
      </c>
      <c r="C14" s="16" t="s">
        <v>25</v>
      </c>
      <c r="D14" s="17" t="s">
        <v>100</v>
      </c>
      <c r="E14" s="16" t="s">
        <v>271</v>
      </c>
      <c r="F14" s="17" t="s">
        <v>242</v>
      </c>
      <c r="G14" s="17"/>
      <c r="H14" s="17"/>
      <c r="I14" s="17" t="s">
        <v>234</v>
      </c>
      <c r="J14" s="17"/>
      <c r="K14" s="17"/>
      <c r="L14" s="17"/>
      <c r="M14" s="17"/>
      <c r="N14" s="17"/>
      <c r="O14" s="16" t="s">
        <v>23</v>
      </c>
      <c r="P14" s="16" t="s">
        <v>101</v>
      </c>
      <c r="Q14" s="18">
        <v>46077</v>
      </c>
      <c r="R14" s="16"/>
      <c r="S14" s="16" t="s">
        <v>32</v>
      </c>
      <c r="T14" s="16" t="s">
        <v>36</v>
      </c>
      <c r="U14" s="16" t="s">
        <v>222</v>
      </c>
      <c r="V14" s="16" t="s">
        <v>26</v>
      </c>
      <c r="W14" s="16" t="s">
        <v>109</v>
      </c>
      <c r="X14" s="16" t="s">
        <v>104</v>
      </c>
      <c r="Y14" s="16" t="s">
        <v>24</v>
      </c>
      <c r="Z14" s="16">
        <v>4412339000</v>
      </c>
      <c r="AA14" s="16"/>
      <c r="AB14" s="16">
        <v>28000</v>
      </c>
      <c r="AC14" s="16">
        <v>3810</v>
      </c>
      <c r="AD14" s="16">
        <f t="shared" si="1"/>
        <v>31810</v>
      </c>
      <c r="AE14" s="16" t="s">
        <v>105</v>
      </c>
      <c r="AF14" s="16">
        <v>18</v>
      </c>
      <c r="AG14" s="16" t="s">
        <v>106</v>
      </c>
    </row>
    <row r="15" spans="1:33" hidden="1" x14ac:dyDescent="0.3">
      <c r="A15" s="16"/>
      <c r="B15" s="16">
        <v>262884721</v>
      </c>
      <c r="C15" s="16" t="s">
        <v>25</v>
      </c>
      <c r="D15" s="17" t="s">
        <v>102</v>
      </c>
      <c r="E15" s="16" t="s">
        <v>269</v>
      </c>
      <c r="F15" s="17" t="s">
        <v>242</v>
      </c>
      <c r="G15" s="17"/>
      <c r="H15" s="17"/>
      <c r="I15" s="17" t="s">
        <v>234</v>
      </c>
      <c r="J15" s="17"/>
      <c r="K15" s="17"/>
      <c r="L15" s="17"/>
      <c r="M15" s="17"/>
      <c r="N15" s="17"/>
      <c r="O15" s="16" t="s">
        <v>23</v>
      </c>
      <c r="P15" s="16" t="s">
        <v>103</v>
      </c>
      <c r="Q15" s="18">
        <v>46077</v>
      </c>
      <c r="R15" s="16"/>
      <c r="S15" s="16" t="s">
        <v>32</v>
      </c>
      <c r="T15" s="16" t="s">
        <v>36</v>
      </c>
      <c r="U15" s="16" t="s">
        <v>222</v>
      </c>
      <c r="V15" s="16" t="s">
        <v>26</v>
      </c>
      <c r="W15" s="16" t="s">
        <v>107</v>
      </c>
      <c r="X15" s="16" t="s">
        <v>104</v>
      </c>
      <c r="Y15" s="16" t="s">
        <v>24</v>
      </c>
      <c r="Z15" s="16">
        <v>4412339000</v>
      </c>
      <c r="AA15" s="16"/>
      <c r="AB15" s="16">
        <v>28000</v>
      </c>
      <c r="AC15" s="16">
        <v>3860</v>
      </c>
      <c r="AD15" s="16">
        <f t="shared" si="1"/>
        <v>31860</v>
      </c>
      <c r="AE15" s="16" t="s">
        <v>105</v>
      </c>
      <c r="AF15" s="16">
        <v>18</v>
      </c>
      <c r="AG15" s="16" t="s">
        <v>106</v>
      </c>
    </row>
    <row r="16" spans="1:33" hidden="1" x14ac:dyDescent="0.3">
      <c r="A16" s="16"/>
      <c r="B16" s="16">
        <v>262506560</v>
      </c>
      <c r="C16" s="16" t="s">
        <v>25</v>
      </c>
      <c r="D16" s="17" t="s">
        <v>111</v>
      </c>
      <c r="E16" s="16" t="s">
        <v>257</v>
      </c>
      <c r="F16" s="17" t="s">
        <v>239</v>
      </c>
      <c r="G16" s="17" t="s">
        <v>239</v>
      </c>
      <c r="H16" s="17"/>
      <c r="I16" s="17" t="s">
        <v>234</v>
      </c>
      <c r="J16" s="22"/>
      <c r="K16" s="17"/>
      <c r="L16" s="17"/>
      <c r="M16" s="17"/>
      <c r="N16" s="17"/>
      <c r="O16" s="16" t="s">
        <v>23</v>
      </c>
      <c r="P16" s="16" t="s">
        <v>112</v>
      </c>
      <c r="Q16" s="18">
        <v>46077</v>
      </c>
      <c r="R16" s="16"/>
      <c r="S16" s="16" t="s">
        <v>32</v>
      </c>
      <c r="T16" s="16" t="s">
        <v>36</v>
      </c>
      <c r="U16" s="16" t="s">
        <v>222</v>
      </c>
      <c r="V16" s="16" t="s">
        <v>26</v>
      </c>
      <c r="W16" s="16"/>
      <c r="X16" s="16" t="s">
        <v>220</v>
      </c>
      <c r="Y16" s="16" t="s">
        <v>24</v>
      </c>
      <c r="Z16" s="16" t="s">
        <v>221</v>
      </c>
      <c r="AA16" s="16"/>
      <c r="AB16" s="16">
        <v>10560.4</v>
      </c>
      <c r="AC16" s="16">
        <v>4000</v>
      </c>
      <c r="AD16" s="16">
        <f t="shared" si="1"/>
        <v>14560.4</v>
      </c>
      <c r="AE16" s="16" t="s">
        <v>27</v>
      </c>
      <c r="AF16" s="16">
        <v>908</v>
      </c>
      <c r="AG16" s="16" t="s">
        <v>113</v>
      </c>
    </row>
    <row r="17" spans="1:33" hidden="1" x14ac:dyDescent="0.3">
      <c r="A17" s="16"/>
      <c r="B17" s="16">
        <v>278890456</v>
      </c>
      <c r="C17" s="16" t="s">
        <v>25</v>
      </c>
      <c r="D17" s="17" t="s">
        <v>114</v>
      </c>
      <c r="E17" s="16" t="s">
        <v>251</v>
      </c>
      <c r="F17" s="17" t="s">
        <v>240</v>
      </c>
      <c r="G17" s="17" t="s">
        <v>239</v>
      </c>
      <c r="H17" s="17"/>
      <c r="I17" s="17" t="s">
        <v>234</v>
      </c>
      <c r="J17" s="17"/>
      <c r="K17" s="17"/>
      <c r="L17" s="17"/>
      <c r="M17" s="17"/>
      <c r="N17" s="17"/>
      <c r="O17" s="16" t="s">
        <v>23</v>
      </c>
      <c r="P17" s="16" t="s">
        <v>115</v>
      </c>
      <c r="Q17" s="18">
        <v>46077</v>
      </c>
      <c r="R17" s="16"/>
      <c r="S17" s="16" t="s">
        <v>38</v>
      </c>
      <c r="T17" s="16" t="s">
        <v>36</v>
      </c>
      <c r="U17" s="16" t="s">
        <v>222</v>
      </c>
      <c r="V17" s="16" t="s">
        <v>33</v>
      </c>
      <c r="W17" s="16" t="s">
        <v>119</v>
      </c>
      <c r="X17" s="16" t="s">
        <v>110</v>
      </c>
      <c r="Y17" s="16" t="s">
        <v>42</v>
      </c>
      <c r="Z17" s="16">
        <v>29221100</v>
      </c>
      <c r="AA17" s="16">
        <v>292211</v>
      </c>
      <c r="AB17" s="16">
        <v>28539</v>
      </c>
      <c r="AC17" s="16">
        <v>3750</v>
      </c>
      <c r="AD17" s="16">
        <f t="shared" si="1"/>
        <v>32289</v>
      </c>
      <c r="AE17" s="16" t="s">
        <v>43</v>
      </c>
      <c r="AF17" s="16">
        <v>54</v>
      </c>
      <c r="AG17" s="16" t="s">
        <v>118</v>
      </c>
    </row>
    <row r="18" spans="1:33" hidden="1" x14ac:dyDescent="0.3">
      <c r="A18" s="16"/>
      <c r="B18" s="16">
        <v>278890456</v>
      </c>
      <c r="C18" s="16" t="s">
        <v>25</v>
      </c>
      <c r="D18" s="17" t="s">
        <v>116</v>
      </c>
      <c r="E18" s="16" t="s">
        <v>252</v>
      </c>
      <c r="F18" s="17" t="s">
        <v>240</v>
      </c>
      <c r="G18" s="17" t="s">
        <v>239</v>
      </c>
      <c r="H18" s="17"/>
      <c r="I18" s="17" t="s">
        <v>234</v>
      </c>
      <c r="J18" s="17"/>
      <c r="K18" s="17"/>
      <c r="L18" s="17"/>
      <c r="M18" s="17"/>
      <c r="N18" s="17"/>
      <c r="O18" s="16" t="s">
        <v>23</v>
      </c>
      <c r="P18" s="16" t="s">
        <v>117</v>
      </c>
      <c r="Q18" s="18">
        <v>46077</v>
      </c>
      <c r="R18" s="16"/>
      <c r="S18" s="16" t="s">
        <v>38</v>
      </c>
      <c r="T18" s="16" t="s">
        <v>36</v>
      </c>
      <c r="U18" s="16" t="s">
        <v>222</v>
      </c>
      <c r="V18" s="16" t="s">
        <v>33</v>
      </c>
      <c r="W18" s="16" t="s">
        <v>120</v>
      </c>
      <c r="X18" s="16" t="s">
        <v>110</v>
      </c>
      <c r="Y18" s="16" t="s">
        <v>42</v>
      </c>
      <c r="Z18" s="16">
        <v>29221100</v>
      </c>
      <c r="AA18" s="16">
        <v>292211</v>
      </c>
      <c r="AB18" s="16">
        <v>28539</v>
      </c>
      <c r="AC18" s="16">
        <v>3700</v>
      </c>
      <c r="AD18" s="16">
        <f t="shared" si="1"/>
        <v>32239</v>
      </c>
      <c r="AE18" s="16" t="s">
        <v>43</v>
      </c>
      <c r="AF18" s="16">
        <v>54</v>
      </c>
      <c r="AG18" s="16" t="s">
        <v>118</v>
      </c>
    </row>
    <row r="19" spans="1:33" hidden="1" x14ac:dyDescent="0.3">
      <c r="A19" s="16" t="s">
        <v>223</v>
      </c>
      <c r="B19" s="16">
        <v>262191672</v>
      </c>
      <c r="C19" s="16" t="s">
        <v>25</v>
      </c>
      <c r="D19" s="17" t="s">
        <v>121</v>
      </c>
      <c r="E19" s="16" t="s">
        <v>253</v>
      </c>
      <c r="F19" s="17" t="s">
        <v>241</v>
      </c>
      <c r="G19" s="17" t="s">
        <v>241</v>
      </c>
      <c r="H19" s="17"/>
      <c r="I19" s="17" t="s">
        <v>234</v>
      </c>
      <c r="J19" s="17"/>
      <c r="K19" s="22"/>
      <c r="L19" s="17"/>
      <c r="M19" s="17"/>
      <c r="N19" s="17"/>
      <c r="O19" s="16" t="s">
        <v>23</v>
      </c>
      <c r="P19" s="16" t="s">
        <v>122</v>
      </c>
      <c r="Q19" s="18">
        <v>46077</v>
      </c>
      <c r="R19" s="16"/>
      <c r="S19" s="16" t="s">
        <v>38</v>
      </c>
      <c r="T19" s="16" t="s">
        <v>123</v>
      </c>
      <c r="U19" s="16" t="s">
        <v>222</v>
      </c>
      <c r="V19" s="16" t="s">
        <v>33</v>
      </c>
      <c r="W19" s="16" t="s">
        <v>126</v>
      </c>
      <c r="X19" s="16" t="s">
        <v>124</v>
      </c>
      <c r="Y19" s="16" t="s">
        <v>24</v>
      </c>
      <c r="Z19" s="23" t="s">
        <v>218</v>
      </c>
      <c r="AA19" s="24" t="s">
        <v>219</v>
      </c>
      <c r="AB19" s="16">
        <v>16756.900000000001</v>
      </c>
      <c r="AC19" s="16">
        <v>4004</v>
      </c>
      <c r="AD19" s="16">
        <f t="shared" si="1"/>
        <v>20760.900000000001</v>
      </c>
      <c r="AE19" s="16" t="s">
        <v>27</v>
      </c>
      <c r="AF19" s="16">
        <v>973</v>
      </c>
      <c r="AG19" s="16" t="s">
        <v>125</v>
      </c>
    </row>
    <row r="20" spans="1:33" hidden="1" x14ac:dyDescent="0.3">
      <c r="A20" s="16"/>
      <c r="B20" s="16">
        <v>262766555</v>
      </c>
      <c r="C20" s="16" t="s">
        <v>25</v>
      </c>
      <c r="D20" s="17" t="s">
        <v>127</v>
      </c>
      <c r="E20" s="16" t="s">
        <v>250</v>
      </c>
      <c r="F20" s="17" t="s">
        <v>240</v>
      </c>
      <c r="G20" s="17" t="s">
        <v>239</v>
      </c>
      <c r="H20" s="17"/>
      <c r="I20" s="17" t="s">
        <v>234</v>
      </c>
      <c r="J20" s="17"/>
      <c r="K20" s="17"/>
      <c r="L20" s="17"/>
      <c r="M20" s="17"/>
      <c r="N20" s="17"/>
      <c r="O20" s="16" t="s">
        <v>28</v>
      </c>
      <c r="P20" s="16" t="s">
        <v>128</v>
      </c>
      <c r="Q20" s="18">
        <v>46077</v>
      </c>
      <c r="R20" s="16"/>
      <c r="S20" s="16" t="s">
        <v>32</v>
      </c>
      <c r="T20" s="16" t="s">
        <v>40</v>
      </c>
      <c r="U20" s="16" t="s">
        <v>222</v>
      </c>
      <c r="V20" s="16" t="s">
        <v>26</v>
      </c>
      <c r="W20" s="16" t="s">
        <v>131</v>
      </c>
      <c r="X20" s="16" t="s">
        <v>129</v>
      </c>
      <c r="Y20" s="16" t="s">
        <v>24</v>
      </c>
      <c r="Z20" s="16">
        <v>29224200</v>
      </c>
      <c r="AA20" s="16"/>
      <c r="AB20" s="16">
        <v>24144</v>
      </c>
      <c r="AC20" s="16">
        <v>2150</v>
      </c>
      <c r="AD20" s="16">
        <f t="shared" si="1"/>
        <v>26294</v>
      </c>
      <c r="AE20" s="16" t="s">
        <v>29</v>
      </c>
      <c r="AF20" s="16">
        <v>960</v>
      </c>
      <c r="AG20" s="16" t="s">
        <v>130</v>
      </c>
    </row>
    <row r="21" spans="1:33" ht="15" customHeight="1" x14ac:dyDescent="0.3">
      <c r="A21" s="16"/>
      <c r="B21" s="16">
        <v>261636184</v>
      </c>
      <c r="C21" s="16" t="s">
        <v>25</v>
      </c>
      <c r="D21" s="17" t="s">
        <v>132</v>
      </c>
      <c r="E21" s="16"/>
      <c r="F21" s="17" t="s">
        <v>241</v>
      </c>
      <c r="G21" s="17" t="s">
        <v>241</v>
      </c>
      <c r="H21" s="17" t="s">
        <v>235</v>
      </c>
      <c r="I21" s="17" t="s">
        <v>234</v>
      </c>
      <c r="J21" s="15" t="s">
        <v>280</v>
      </c>
      <c r="K21" s="17"/>
      <c r="L21" s="17"/>
      <c r="M21" s="17"/>
      <c r="N21" s="17"/>
      <c r="O21" s="16" t="s">
        <v>23</v>
      </c>
      <c r="P21" s="16" t="s">
        <v>133</v>
      </c>
      <c r="Q21" s="18">
        <v>46077</v>
      </c>
      <c r="R21" s="16"/>
      <c r="S21" s="16" t="s">
        <v>32</v>
      </c>
      <c r="T21" s="16" t="s">
        <v>40</v>
      </c>
      <c r="U21" s="16" t="s">
        <v>222</v>
      </c>
      <c r="V21" s="16" t="s">
        <v>26</v>
      </c>
      <c r="W21" s="16" t="s">
        <v>135</v>
      </c>
      <c r="X21" s="16" t="s">
        <v>31</v>
      </c>
      <c r="Y21" s="16" t="s">
        <v>24</v>
      </c>
      <c r="Z21" s="16">
        <v>4011200090</v>
      </c>
      <c r="AA21" s="16"/>
      <c r="AB21" s="16">
        <v>15060</v>
      </c>
      <c r="AC21" s="16">
        <v>3880</v>
      </c>
      <c r="AD21" s="16">
        <f t="shared" si="1"/>
        <v>18940</v>
      </c>
      <c r="AE21" s="16" t="s">
        <v>41</v>
      </c>
      <c r="AF21" s="16">
        <v>224</v>
      </c>
      <c r="AG21" s="16" t="s">
        <v>134</v>
      </c>
    </row>
    <row r="22" spans="1:33" hidden="1" x14ac:dyDescent="0.3">
      <c r="A22" s="16"/>
      <c r="B22" s="16">
        <v>264915440</v>
      </c>
      <c r="C22" s="16" t="s">
        <v>25</v>
      </c>
      <c r="D22" s="17" t="s">
        <v>136</v>
      </c>
      <c r="E22" s="16" t="s">
        <v>258</v>
      </c>
      <c r="F22" s="17" t="s">
        <v>240</v>
      </c>
      <c r="G22" s="17" t="s">
        <v>240</v>
      </c>
      <c r="H22" s="17"/>
      <c r="I22" s="17" t="s">
        <v>234</v>
      </c>
      <c r="J22" s="17"/>
      <c r="K22" s="17"/>
      <c r="L22" s="17"/>
      <c r="M22" s="17"/>
      <c r="N22" s="17"/>
      <c r="O22" s="16" t="s">
        <v>23</v>
      </c>
      <c r="P22" s="16" t="s">
        <v>137</v>
      </c>
      <c r="Q22" s="18">
        <v>46077</v>
      </c>
      <c r="R22" s="16"/>
      <c r="S22" s="16" t="s">
        <v>32</v>
      </c>
      <c r="T22" s="16" t="s">
        <v>40</v>
      </c>
      <c r="U22" s="16" t="s">
        <v>222</v>
      </c>
      <c r="V22" s="16" t="s">
        <v>26</v>
      </c>
      <c r="W22" s="16" t="s">
        <v>142</v>
      </c>
      <c r="X22" s="16" t="s">
        <v>138</v>
      </c>
      <c r="Y22" s="16" t="s">
        <v>24</v>
      </c>
      <c r="Z22" s="16" t="s">
        <v>139</v>
      </c>
      <c r="AA22" s="16" t="s">
        <v>140</v>
      </c>
      <c r="AB22" s="16">
        <v>8950.56</v>
      </c>
      <c r="AC22" s="16">
        <v>3970.44</v>
      </c>
      <c r="AD22" s="16">
        <f t="shared" si="1"/>
        <v>12921</v>
      </c>
      <c r="AE22" s="16" t="s">
        <v>27</v>
      </c>
      <c r="AF22" s="16">
        <v>558</v>
      </c>
      <c r="AG22" s="16" t="s">
        <v>141</v>
      </c>
    </row>
    <row r="23" spans="1:33" hidden="1" x14ac:dyDescent="0.3">
      <c r="A23" s="16"/>
      <c r="B23" s="16">
        <v>276914713</v>
      </c>
      <c r="C23" s="16" t="s">
        <v>25</v>
      </c>
      <c r="D23" s="17" t="s">
        <v>143</v>
      </c>
      <c r="E23" s="16" t="s">
        <v>259</v>
      </c>
      <c r="F23" s="17" t="s">
        <v>240</v>
      </c>
      <c r="G23" s="17" t="s">
        <v>239</v>
      </c>
      <c r="H23" s="17"/>
      <c r="I23" s="17" t="s">
        <v>234</v>
      </c>
      <c r="J23" s="17"/>
      <c r="K23" s="17"/>
      <c r="L23" s="17"/>
      <c r="M23" s="17"/>
      <c r="N23" s="17"/>
      <c r="O23" s="16" t="s">
        <v>23</v>
      </c>
      <c r="P23" s="16" t="s">
        <v>144</v>
      </c>
      <c r="Q23" s="18">
        <v>46077</v>
      </c>
      <c r="R23" s="16"/>
      <c r="S23" s="16" t="s">
        <v>32</v>
      </c>
      <c r="T23" s="16" t="s">
        <v>145</v>
      </c>
      <c r="U23" s="16" t="s">
        <v>222</v>
      </c>
      <c r="V23" s="16" t="s">
        <v>26</v>
      </c>
      <c r="W23" s="16" t="s">
        <v>149</v>
      </c>
      <c r="X23" s="16" t="s">
        <v>146</v>
      </c>
      <c r="Y23" s="16" t="s">
        <v>24</v>
      </c>
      <c r="Z23" s="16" t="s">
        <v>147</v>
      </c>
      <c r="AA23" s="16"/>
      <c r="AB23" s="16">
        <v>6439</v>
      </c>
      <c r="AC23" s="16">
        <v>3700</v>
      </c>
      <c r="AD23" s="16">
        <f t="shared" si="1"/>
        <v>10139</v>
      </c>
      <c r="AE23" s="16" t="s">
        <v>34</v>
      </c>
      <c r="AF23" s="16">
        <v>9</v>
      </c>
      <c r="AG23" s="16" t="s">
        <v>148</v>
      </c>
    </row>
    <row r="24" spans="1:33" hidden="1" x14ac:dyDescent="0.3">
      <c r="A24" s="16"/>
      <c r="B24" s="16">
        <v>262927136</v>
      </c>
      <c r="C24" s="16" t="s">
        <v>25</v>
      </c>
      <c r="D24" s="17" t="s">
        <v>150</v>
      </c>
      <c r="E24" s="16" t="s">
        <v>260</v>
      </c>
      <c r="F24" s="17" t="s">
        <v>240</v>
      </c>
      <c r="G24" s="17" t="s">
        <v>239</v>
      </c>
      <c r="H24" s="17"/>
      <c r="I24" s="17" t="s">
        <v>234</v>
      </c>
      <c r="J24" s="17"/>
      <c r="K24" s="17"/>
      <c r="L24" s="17"/>
      <c r="M24" s="17"/>
      <c r="N24" s="17"/>
      <c r="O24" s="16" t="s">
        <v>28</v>
      </c>
      <c r="P24" s="16" t="s">
        <v>151</v>
      </c>
      <c r="Q24" s="18">
        <v>46077</v>
      </c>
      <c r="R24" s="16"/>
      <c r="S24" s="16" t="s">
        <v>32</v>
      </c>
      <c r="T24" s="16" t="s">
        <v>40</v>
      </c>
      <c r="U24" s="16" t="s">
        <v>222</v>
      </c>
      <c r="V24" s="16" t="s">
        <v>26</v>
      </c>
      <c r="W24" s="16" t="s">
        <v>155</v>
      </c>
      <c r="X24" s="16" t="s">
        <v>152</v>
      </c>
      <c r="Y24" s="16" t="s">
        <v>24</v>
      </c>
      <c r="Z24" s="16" t="s">
        <v>153</v>
      </c>
      <c r="AA24" s="16"/>
      <c r="AB24" s="16">
        <v>19520</v>
      </c>
      <c r="AC24" s="16">
        <v>2185</v>
      </c>
      <c r="AD24" s="16">
        <f t="shared" si="1"/>
        <v>21705</v>
      </c>
      <c r="AE24" s="16" t="s">
        <v>39</v>
      </c>
      <c r="AF24" s="16">
        <v>760</v>
      </c>
      <c r="AG24" s="16" t="s">
        <v>154</v>
      </c>
    </row>
    <row r="25" spans="1:33" hidden="1" x14ac:dyDescent="0.3">
      <c r="A25" s="16"/>
      <c r="B25" s="16">
        <v>262707936</v>
      </c>
      <c r="C25" s="16" t="s">
        <v>25</v>
      </c>
      <c r="D25" s="17" t="s">
        <v>156</v>
      </c>
      <c r="E25" s="16" t="s">
        <v>261</v>
      </c>
      <c r="F25" s="17" t="s">
        <v>240</v>
      </c>
      <c r="G25" s="17" t="s">
        <v>254</v>
      </c>
      <c r="H25" s="17"/>
      <c r="I25" s="17" t="s">
        <v>234</v>
      </c>
      <c r="J25" s="17"/>
      <c r="K25" s="17"/>
      <c r="L25" s="17"/>
      <c r="M25" s="17"/>
      <c r="N25" s="17"/>
      <c r="O25" s="16" t="s">
        <v>23</v>
      </c>
      <c r="P25" s="16" t="s">
        <v>157</v>
      </c>
      <c r="Q25" s="18">
        <v>46077</v>
      </c>
      <c r="R25" s="16"/>
      <c r="S25" s="16" t="s">
        <v>32</v>
      </c>
      <c r="T25" s="16" t="s">
        <v>40</v>
      </c>
      <c r="U25" s="16" t="s">
        <v>222</v>
      </c>
      <c r="V25" s="16" t="s">
        <v>26</v>
      </c>
      <c r="W25" s="16" t="s">
        <v>161</v>
      </c>
      <c r="X25" s="16" t="s">
        <v>138</v>
      </c>
      <c r="Y25" s="16" t="s">
        <v>24</v>
      </c>
      <c r="Z25" s="16" t="s">
        <v>158</v>
      </c>
      <c r="AA25" s="16" t="s">
        <v>159</v>
      </c>
      <c r="AB25" s="16">
        <v>9924.9699999999993</v>
      </c>
      <c r="AC25" s="16">
        <v>3750.03</v>
      </c>
      <c r="AD25" s="16">
        <f t="shared" si="1"/>
        <v>13675</v>
      </c>
      <c r="AE25" s="16" t="s">
        <v>27</v>
      </c>
      <c r="AF25" s="16">
        <v>702</v>
      </c>
      <c r="AG25" s="16" t="s">
        <v>160</v>
      </c>
    </row>
    <row r="26" spans="1:33" x14ac:dyDescent="0.3">
      <c r="A26" s="16"/>
      <c r="B26" s="16">
        <v>262669386</v>
      </c>
      <c r="C26" s="16" t="s">
        <v>25</v>
      </c>
      <c r="D26" s="17" t="s">
        <v>162</v>
      </c>
      <c r="E26" s="16"/>
      <c r="F26" s="17"/>
      <c r="G26" s="17"/>
      <c r="H26" s="17" t="s">
        <v>235</v>
      </c>
      <c r="I26" s="17" t="s">
        <v>234</v>
      </c>
      <c r="J26" s="17" t="s">
        <v>278</v>
      </c>
      <c r="K26" s="17"/>
      <c r="L26" s="17"/>
      <c r="M26" s="17"/>
      <c r="N26" s="17"/>
      <c r="O26" s="16" t="s">
        <v>23</v>
      </c>
      <c r="P26" s="16" t="s">
        <v>163</v>
      </c>
      <c r="Q26" s="18">
        <v>46077</v>
      </c>
      <c r="R26" s="16"/>
      <c r="S26" s="16" t="s">
        <v>32</v>
      </c>
      <c r="T26" s="16" t="s">
        <v>40</v>
      </c>
      <c r="U26" s="16" t="s">
        <v>222</v>
      </c>
      <c r="V26" s="16" t="s">
        <v>26</v>
      </c>
      <c r="W26" s="16">
        <v>201102</v>
      </c>
      <c r="X26" s="16" t="s">
        <v>164</v>
      </c>
      <c r="Y26" s="16" t="s">
        <v>24</v>
      </c>
      <c r="Z26" s="16">
        <v>9503001000</v>
      </c>
      <c r="AA26" s="16" t="s">
        <v>35</v>
      </c>
      <c r="AB26" s="16">
        <v>4917.3</v>
      </c>
      <c r="AC26" s="16">
        <v>3880</v>
      </c>
      <c r="AD26" s="16">
        <f t="shared" si="1"/>
        <v>8797.2999999999993</v>
      </c>
      <c r="AE26" s="16" t="s">
        <v>37</v>
      </c>
      <c r="AF26" s="16">
        <v>607</v>
      </c>
      <c r="AG26" s="16" t="s">
        <v>165</v>
      </c>
    </row>
    <row r="27" spans="1:33" hidden="1" x14ac:dyDescent="0.3">
      <c r="A27" s="16"/>
      <c r="B27" s="16">
        <v>262557498</v>
      </c>
      <c r="C27" s="16" t="s">
        <v>25</v>
      </c>
      <c r="D27" s="17" t="s">
        <v>166</v>
      </c>
      <c r="E27" s="16" t="s">
        <v>262</v>
      </c>
      <c r="F27" s="17" t="s">
        <v>240</v>
      </c>
      <c r="G27" s="17" t="s">
        <v>254</v>
      </c>
      <c r="H27" s="17"/>
      <c r="I27" s="17" t="s">
        <v>234</v>
      </c>
      <c r="J27" s="17"/>
      <c r="K27" s="17"/>
      <c r="L27" s="17"/>
      <c r="M27" s="17"/>
      <c r="N27" s="17"/>
      <c r="O27" s="16" t="s">
        <v>23</v>
      </c>
      <c r="P27" s="16" t="s">
        <v>167</v>
      </c>
      <c r="Q27" s="18">
        <v>46077</v>
      </c>
      <c r="R27" s="16"/>
      <c r="S27" s="16" t="s">
        <v>32</v>
      </c>
      <c r="T27" s="16" t="s">
        <v>36</v>
      </c>
      <c r="U27" s="16" t="s">
        <v>222</v>
      </c>
      <c r="V27" s="16" t="s">
        <v>26</v>
      </c>
      <c r="W27" s="16" t="s">
        <v>170</v>
      </c>
      <c r="X27" s="16" t="s">
        <v>168</v>
      </c>
      <c r="Y27" s="16" t="s">
        <v>24</v>
      </c>
      <c r="Z27" s="16">
        <v>4818909000</v>
      </c>
      <c r="AA27" s="16"/>
      <c r="AB27" s="16">
        <v>11500.6</v>
      </c>
      <c r="AC27" s="16">
        <v>4000</v>
      </c>
      <c r="AD27" s="16">
        <f t="shared" si="1"/>
        <v>15500.6</v>
      </c>
      <c r="AE27" s="16" t="s">
        <v>27</v>
      </c>
      <c r="AF27" s="16">
        <v>881</v>
      </c>
      <c r="AG27" s="16" t="s">
        <v>169</v>
      </c>
    </row>
    <row r="28" spans="1:33" hidden="1" x14ac:dyDescent="0.3">
      <c r="A28" s="16" t="s">
        <v>223</v>
      </c>
      <c r="B28" s="16">
        <v>263026692</v>
      </c>
      <c r="C28" s="16" t="s">
        <v>25</v>
      </c>
      <c r="D28" s="17" t="s">
        <v>171</v>
      </c>
      <c r="E28" s="16" t="s">
        <v>263</v>
      </c>
      <c r="F28" s="17" t="s">
        <v>242</v>
      </c>
      <c r="G28" s="17" t="s">
        <v>241</v>
      </c>
      <c r="H28" s="17"/>
      <c r="I28" s="17" t="s">
        <v>234</v>
      </c>
      <c r="J28" s="17"/>
      <c r="K28" s="17"/>
      <c r="L28" s="17"/>
      <c r="M28" s="17"/>
      <c r="N28" s="17"/>
      <c r="O28" s="16" t="s">
        <v>23</v>
      </c>
      <c r="P28" s="16" t="s">
        <v>172</v>
      </c>
      <c r="Q28" s="18">
        <v>46077</v>
      </c>
      <c r="R28" s="16"/>
      <c r="S28" s="16" t="s">
        <v>32</v>
      </c>
      <c r="T28" s="16" t="s">
        <v>36</v>
      </c>
      <c r="U28" s="16" t="s">
        <v>222</v>
      </c>
      <c r="V28" s="16" t="s">
        <v>33</v>
      </c>
      <c r="W28" s="16" t="s">
        <v>177</v>
      </c>
      <c r="X28" s="16" t="s">
        <v>175</v>
      </c>
      <c r="Y28" s="16" t="s">
        <v>24</v>
      </c>
      <c r="Z28" s="16">
        <v>40117000</v>
      </c>
      <c r="AA28" s="16"/>
      <c r="AB28" s="16">
        <v>11083.88</v>
      </c>
      <c r="AC28" s="16">
        <v>4000</v>
      </c>
      <c r="AD28" s="16">
        <f t="shared" si="1"/>
        <v>15083.88</v>
      </c>
      <c r="AE28" s="16" t="s">
        <v>41</v>
      </c>
      <c r="AF28" s="16">
        <v>98</v>
      </c>
      <c r="AG28" s="16" t="s">
        <v>176</v>
      </c>
    </row>
    <row r="29" spans="1:33" hidden="1" x14ac:dyDescent="0.3">
      <c r="A29" s="16" t="s">
        <v>223</v>
      </c>
      <c r="B29" s="16">
        <v>263026692</v>
      </c>
      <c r="C29" s="16" t="s">
        <v>25</v>
      </c>
      <c r="D29" s="17" t="s">
        <v>173</v>
      </c>
      <c r="E29" s="16" t="s">
        <v>264</v>
      </c>
      <c r="F29" s="17" t="s">
        <v>242</v>
      </c>
      <c r="G29" s="17" t="s">
        <v>241</v>
      </c>
      <c r="H29" s="17"/>
      <c r="I29" s="17" t="s">
        <v>234</v>
      </c>
      <c r="J29" s="17"/>
      <c r="K29" s="17"/>
      <c r="L29" s="17"/>
      <c r="M29" s="17"/>
      <c r="N29" s="17"/>
      <c r="O29" s="16" t="s">
        <v>23</v>
      </c>
      <c r="P29" s="16" t="s">
        <v>174</v>
      </c>
      <c r="Q29" s="18">
        <v>46077</v>
      </c>
      <c r="R29" s="16"/>
      <c r="S29" s="16" t="s">
        <v>32</v>
      </c>
      <c r="T29" s="16" t="s">
        <v>36</v>
      </c>
      <c r="U29" s="16" t="s">
        <v>222</v>
      </c>
      <c r="V29" s="16" t="s">
        <v>33</v>
      </c>
      <c r="W29" s="16" t="s">
        <v>178</v>
      </c>
      <c r="X29" s="16" t="s">
        <v>175</v>
      </c>
      <c r="Y29" s="16" t="s">
        <v>24</v>
      </c>
      <c r="Z29" s="16">
        <v>40117000</v>
      </c>
      <c r="AA29" s="16"/>
      <c r="AB29" s="16">
        <v>10225.02</v>
      </c>
      <c r="AC29" s="16">
        <v>4000</v>
      </c>
      <c r="AD29" s="16">
        <f t="shared" ref="AD29:AD36" si="2">AB29+AC29</f>
        <v>14225.02</v>
      </c>
      <c r="AE29" s="16" t="s">
        <v>41</v>
      </c>
      <c r="AF29" s="16">
        <v>92</v>
      </c>
      <c r="AG29" s="16" t="s">
        <v>176</v>
      </c>
    </row>
    <row r="30" spans="1:33" hidden="1" x14ac:dyDescent="0.3">
      <c r="A30" s="16" t="s">
        <v>223</v>
      </c>
      <c r="B30" s="16">
        <v>262524241</v>
      </c>
      <c r="C30" s="16" t="s">
        <v>25</v>
      </c>
      <c r="D30" s="17" t="s">
        <v>179</v>
      </c>
      <c r="E30" s="16" t="s">
        <v>272</v>
      </c>
      <c r="F30" s="17" t="s">
        <v>241</v>
      </c>
      <c r="G30" s="17" t="s">
        <v>241</v>
      </c>
      <c r="H30" s="17"/>
      <c r="I30" s="17" t="s">
        <v>234</v>
      </c>
      <c r="J30" s="15"/>
      <c r="K30" s="17"/>
      <c r="L30" s="17"/>
      <c r="M30" s="17"/>
      <c r="N30" s="17"/>
      <c r="O30" s="16" t="s">
        <v>28</v>
      </c>
      <c r="P30" s="16" t="s">
        <v>180</v>
      </c>
      <c r="Q30" s="18">
        <v>46077</v>
      </c>
      <c r="R30" s="16"/>
      <c r="S30" s="16" t="s">
        <v>32</v>
      </c>
      <c r="T30" s="16" t="s">
        <v>36</v>
      </c>
      <c r="U30" s="16" t="s">
        <v>222</v>
      </c>
      <c r="V30" s="16" t="s">
        <v>33</v>
      </c>
      <c r="W30" s="16" t="s">
        <v>183</v>
      </c>
      <c r="X30" s="16" t="s">
        <v>181</v>
      </c>
      <c r="Y30" s="16" t="s">
        <v>24</v>
      </c>
      <c r="Z30" s="16">
        <v>4823200000</v>
      </c>
      <c r="AA30" s="16">
        <v>132106</v>
      </c>
      <c r="AB30" s="16">
        <v>7494.4</v>
      </c>
      <c r="AC30" s="16">
        <v>2180</v>
      </c>
      <c r="AD30" s="16">
        <f t="shared" si="2"/>
        <v>9674.4</v>
      </c>
      <c r="AE30" s="16" t="s">
        <v>27</v>
      </c>
      <c r="AF30" s="16">
        <v>286</v>
      </c>
      <c r="AG30" s="16" t="s">
        <v>182</v>
      </c>
    </row>
    <row r="31" spans="1:33" hidden="1" x14ac:dyDescent="0.3">
      <c r="A31" s="16"/>
      <c r="B31" s="16">
        <v>262710946</v>
      </c>
      <c r="C31" s="16" t="s">
        <v>25</v>
      </c>
      <c r="D31" s="17" t="s">
        <v>184</v>
      </c>
      <c r="E31" s="16" t="s">
        <v>276</v>
      </c>
      <c r="F31" s="17" t="s">
        <v>241</v>
      </c>
      <c r="G31" s="17" t="s">
        <v>241</v>
      </c>
      <c r="H31" s="17"/>
      <c r="I31" s="17" t="s">
        <v>277</v>
      </c>
      <c r="J31" s="15" t="s">
        <v>268</v>
      </c>
      <c r="K31" s="17"/>
      <c r="L31" s="17"/>
      <c r="M31" s="17"/>
      <c r="N31" s="17"/>
      <c r="O31" s="16" t="s">
        <v>23</v>
      </c>
      <c r="P31" s="16" t="s">
        <v>185</v>
      </c>
      <c r="Q31" s="18">
        <v>46077</v>
      </c>
      <c r="R31" s="16"/>
      <c r="S31" s="16" t="s">
        <v>38</v>
      </c>
      <c r="T31" s="16" t="s">
        <v>40</v>
      </c>
      <c r="U31" s="16" t="s">
        <v>222</v>
      </c>
      <c r="V31" s="16" t="s">
        <v>26</v>
      </c>
      <c r="W31" s="16">
        <v>726790</v>
      </c>
      <c r="X31" s="16" t="s">
        <v>186</v>
      </c>
      <c r="Y31" s="16" t="s">
        <v>24</v>
      </c>
      <c r="Z31" s="16" t="s">
        <v>187</v>
      </c>
      <c r="AA31" s="16"/>
      <c r="AB31" s="16">
        <v>4970</v>
      </c>
      <c r="AC31" s="16"/>
      <c r="AD31" s="16">
        <f t="shared" si="2"/>
        <v>4970</v>
      </c>
      <c r="AE31" s="16" t="s">
        <v>30</v>
      </c>
      <c r="AF31" s="16">
        <v>104</v>
      </c>
      <c r="AG31" s="16" t="s">
        <v>188</v>
      </c>
    </row>
    <row r="32" spans="1:33" hidden="1" x14ac:dyDescent="0.3">
      <c r="A32" s="16"/>
      <c r="B32" s="16">
        <v>276912356</v>
      </c>
      <c r="C32" s="16" t="s">
        <v>25</v>
      </c>
      <c r="D32" s="17" t="s">
        <v>189</v>
      </c>
      <c r="E32" s="16" t="s">
        <v>265</v>
      </c>
      <c r="F32" s="17" t="s">
        <v>240</v>
      </c>
      <c r="G32" s="17" t="s">
        <v>254</v>
      </c>
      <c r="H32" s="17"/>
      <c r="I32" s="17" t="s">
        <v>234</v>
      </c>
      <c r="J32" s="14"/>
      <c r="K32" s="17"/>
      <c r="L32" s="17"/>
      <c r="M32" s="17"/>
      <c r="N32" s="17"/>
      <c r="O32" s="16" t="s">
        <v>23</v>
      </c>
      <c r="P32" s="16" t="s">
        <v>190</v>
      </c>
      <c r="Q32" s="18">
        <v>46077</v>
      </c>
      <c r="R32" s="16"/>
      <c r="S32" s="16" t="s">
        <v>38</v>
      </c>
      <c r="T32" s="16" t="s">
        <v>40</v>
      </c>
      <c r="U32" s="16" t="s">
        <v>222</v>
      </c>
      <c r="V32" s="16" t="s">
        <v>26</v>
      </c>
      <c r="W32" s="16" t="s">
        <v>194</v>
      </c>
      <c r="X32" s="16" t="s">
        <v>191</v>
      </c>
      <c r="Y32" s="16" t="s">
        <v>24</v>
      </c>
      <c r="Z32" s="16" t="s">
        <v>192</v>
      </c>
      <c r="AA32" s="16"/>
      <c r="AB32" s="16">
        <v>6991.45</v>
      </c>
      <c r="AC32" s="16">
        <v>3750</v>
      </c>
      <c r="AD32" s="16">
        <f t="shared" si="2"/>
        <v>10741.45</v>
      </c>
      <c r="AE32" s="16" t="s">
        <v>27</v>
      </c>
      <c r="AF32" s="16">
        <v>752</v>
      </c>
      <c r="AG32" s="16" t="s">
        <v>193</v>
      </c>
    </row>
    <row r="33" spans="1:33" hidden="1" x14ac:dyDescent="0.3">
      <c r="A33" s="16"/>
      <c r="B33" s="16">
        <v>276912936</v>
      </c>
      <c r="C33" s="16" t="s">
        <v>25</v>
      </c>
      <c r="D33" s="17" t="s">
        <v>195</v>
      </c>
      <c r="E33" s="16" t="s">
        <v>266</v>
      </c>
      <c r="F33" s="17" t="s">
        <v>240</v>
      </c>
      <c r="G33" s="17" t="s">
        <v>254</v>
      </c>
      <c r="H33" s="17"/>
      <c r="I33" s="17" t="s">
        <v>234</v>
      </c>
      <c r="J33" s="14"/>
      <c r="K33" s="17"/>
      <c r="L33" s="17"/>
      <c r="M33" s="17"/>
      <c r="N33" s="17"/>
      <c r="O33" s="16" t="s">
        <v>23</v>
      </c>
      <c r="P33" s="16" t="s">
        <v>196</v>
      </c>
      <c r="Q33" s="18">
        <v>46077</v>
      </c>
      <c r="R33" s="16"/>
      <c r="S33" s="16" t="s">
        <v>38</v>
      </c>
      <c r="T33" s="16" t="s">
        <v>40</v>
      </c>
      <c r="U33" s="16" t="s">
        <v>222</v>
      </c>
      <c r="V33" s="16" t="s">
        <v>26</v>
      </c>
      <c r="W33" s="16" t="s">
        <v>200</v>
      </c>
      <c r="X33" s="16" t="s">
        <v>197</v>
      </c>
      <c r="Y33" s="16" t="s">
        <v>24</v>
      </c>
      <c r="Z33" s="16" t="s">
        <v>198</v>
      </c>
      <c r="AA33" s="16"/>
      <c r="AB33" s="16">
        <v>5677.8</v>
      </c>
      <c r="AC33" s="16">
        <v>3700</v>
      </c>
      <c r="AD33" s="16">
        <f t="shared" si="2"/>
        <v>9377.7999999999993</v>
      </c>
      <c r="AE33" s="16" t="s">
        <v>27</v>
      </c>
      <c r="AF33" s="16">
        <v>367</v>
      </c>
      <c r="AG33" s="16" t="s">
        <v>199</v>
      </c>
    </row>
    <row r="34" spans="1:33" hidden="1" x14ac:dyDescent="0.3">
      <c r="A34" s="16" t="s">
        <v>223</v>
      </c>
      <c r="B34" s="16">
        <v>262638115</v>
      </c>
      <c r="C34" s="16" t="s">
        <v>25</v>
      </c>
      <c r="D34" s="17" t="s">
        <v>201</v>
      </c>
      <c r="E34" s="16" t="s">
        <v>267</v>
      </c>
      <c r="F34" s="17" t="s">
        <v>254</v>
      </c>
      <c r="G34" s="17" t="s">
        <v>254</v>
      </c>
      <c r="H34" s="17"/>
      <c r="I34" s="17" t="s">
        <v>234</v>
      </c>
      <c r="J34" s="15"/>
      <c r="K34" s="17"/>
      <c r="L34" s="17"/>
      <c r="M34" s="17"/>
      <c r="N34" s="17"/>
      <c r="O34" s="16" t="s">
        <v>23</v>
      </c>
      <c r="P34" s="16" t="s">
        <v>202</v>
      </c>
      <c r="Q34" s="18">
        <v>46077</v>
      </c>
      <c r="R34" s="16"/>
      <c r="S34" s="16" t="s">
        <v>38</v>
      </c>
      <c r="T34" s="16" t="s">
        <v>40</v>
      </c>
      <c r="U34" s="16" t="s">
        <v>222</v>
      </c>
      <c r="V34" s="16" t="s">
        <v>33</v>
      </c>
      <c r="W34" s="16">
        <v>331043</v>
      </c>
      <c r="X34" s="16" t="s">
        <v>203</v>
      </c>
      <c r="Y34" s="16" t="s">
        <v>24</v>
      </c>
      <c r="Z34" s="16">
        <v>48115900</v>
      </c>
      <c r="AA34" s="16">
        <v>132178</v>
      </c>
      <c r="AB34" s="16">
        <v>23946</v>
      </c>
      <c r="AC34" s="16">
        <v>3720</v>
      </c>
      <c r="AD34" s="16">
        <f t="shared" si="2"/>
        <v>27666</v>
      </c>
      <c r="AE34" s="16" t="s">
        <v>34</v>
      </c>
      <c r="AF34" s="16">
        <v>27</v>
      </c>
      <c r="AG34" s="16" t="s">
        <v>204</v>
      </c>
    </row>
    <row r="35" spans="1:33" hidden="1" x14ac:dyDescent="0.3">
      <c r="A35" s="16"/>
      <c r="B35" s="16">
        <v>276912971</v>
      </c>
      <c r="C35" s="16" t="s">
        <v>25</v>
      </c>
      <c r="D35" s="17" t="s">
        <v>205</v>
      </c>
      <c r="E35" s="16" t="s">
        <v>273</v>
      </c>
      <c r="F35" s="17" t="s">
        <v>240</v>
      </c>
      <c r="G35" s="17" t="s">
        <v>254</v>
      </c>
      <c r="H35" s="17"/>
      <c r="I35" s="17" t="s">
        <v>234</v>
      </c>
      <c r="J35" s="17"/>
      <c r="K35" s="17"/>
      <c r="L35" s="17"/>
      <c r="M35" s="17"/>
      <c r="N35" s="17"/>
      <c r="O35" s="16" t="s">
        <v>23</v>
      </c>
      <c r="P35" s="16" t="s">
        <v>206</v>
      </c>
      <c r="Q35" s="18">
        <v>46077</v>
      </c>
      <c r="R35" s="16"/>
      <c r="S35" s="16" t="s">
        <v>38</v>
      </c>
      <c r="T35" s="16" t="s">
        <v>40</v>
      </c>
      <c r="U35" s="16" t="s">
        <v>222</v>
      </c>
      <c r="V35" s="16" t="s">
        <v>26</v>
      </c>
      <c r="W35" s="16" t="s">
        <v>210</v>
      </c>
      <c r="X35" s="16" t="s">
        <v>207</v>
      </c>
      <c r="Y35" s="16" t="s">
        <v>24</v>
      </c>
      <c r="Z35" s="16" t="s">
        <v>208</v>
      </c>
      <c r="AA35" s="16"/>
      <c r="AB35" s="16">
        <v>18851.400000000001</v>
      </c>
      <c r="AC35" s="16">
        <v>3810</v>
      </c>
      <c r="AD35" s="16">
        <f t="shared" si="2"/>
        <v>22661.4</v>
      </c>
      <c r="AE35" s="16" t="s">
        <v>27</v>
      </c>
      <c r="AF35" s="16">
        <v>1865</v>
      </c>
      <c r="AG35" s="16" t="s">
        <v>209</v>
      </c>
    </row>
    <row r="36" spans="1:33" x14ac:dyDescent="0.3">
      <c r="A36" s="16"/>
      <c r="B36" s="16">
        <v>264915737</v>
      </c>
      <c r="C36" s="16" t="s">
        <v>25</v>
      </c>
      <c r="D36" s="17" t="s">
        <v>211</v>
      </c>
      <c r="E36" s="16" t="s">
        <v>274</v>
      </c>
      <c r="F36" s="17" t="s">
        <v>240</v>
      </c>
      <c r="G36" s="17" t="s">
        <v>254</v>
      </c>
      <c r="H36" s="17" t="s">
        <v>275</v>
      </c>
      <c r="I36" s="17" t="s">
        <v>234</v>
      </c>
      <c r="J36" s="17" t="s">
        <v>279</v>
      </c>
      <c r="K36" s="17"/>
      <c r="L36" s="17"/>
      <c r="M36" s="17"/>
      <c r="N36" s="17"/>
      <c r="O36" s="16" t="s">
        <v>23</v>
      </c>
      <c r="P36" s="16" t="s">
        <v>212</v>
      </c>
      <c r="Q36" s="18">
        <v>46077</v>
      </c>
      <c r="R36" s="16"/>
      <c r="S36" s="16" t="s">
        <v>38</v>
      </c>
      <c r="T36" s="16" t="s">
        <v>40</v>
      </c>
      <c r="U36" s="16" t="s">
        <v>222</v>
      </c>
      <c r="V36" s="16" t="s">
        <v>26</v>
      </c>
      <c r="W36" s="16" t="s">
        <v>216</v>
      </c>
      <c r="X36" s="16" t="s">
        <v>213</v>
      </c>
      <c r="Y36" s="16" t="s">
        <v>24</v>
      </c>
      <c r="Z36" s="16" t="s">
        <v>214</v>
      </c>
      <c r="AA36" s="16"/>
      <c r="AB36" s="16">
        <v>11892.3</v>
      </c>
      <c r="AC36" s="16">
        <v>3880</v>
      </c>
      <c r="AD36" s="16">
        <f t="shared" si="2"/>
        <v>15772.3</v>
      </c>
      <c r="AE36" s="16" t="s">
        <v>27</v>
      </c>
      <c r="AF36" s="16">
        <v>653</v>
      </c>
      <c r="AG36" s="16" t="s">
        <v>215</v>
      </c>
    </row>
    <row r="38" spans="1:33" x14ac:dyDescent="0.3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33" x14ac:dyDescent="0.3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33" x14ac:dyDescent="0.3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33" x14ac:dyDescent="0.3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33" x14ac:dyDescent="0.3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33" x14ac:dyDescent="0.3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33" x14ac:dyDescent="0.3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33" x14ac:dyDescent="0.3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33" x14ac:dyDescent="0.3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33" x14ac:dyDescent="0.3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33" x14ac:dyDescent="0.3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4:14" x14ac:dyDescent="0.3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4:14" x14ac:dyDescent="0.3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4:14" x14ac:dyDescent="0.3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4:14" x14ac:dyDescent="0.3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4:14" x14ac:dyDescent="0.3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4:14" x14ac:dyDescent="0.3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4:14" x14ac:dyDescent="0.3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4:14" x14ac:dyDescent="0.3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4:14" x14ac:dyDescent="0.3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4:14" x14ac:dyDescent="0.3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4:14" x14ac:dyDescent="0.3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4:14" x14ac:dyDescent="0.3"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4:14" x14ac:dyDescent="0.3"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4:14" x14ac:dyDescent="0.3"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4:14" x14ac:dyDescent="0.3"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4:14" x14ac:dyDescent="0.3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4:14" x14ac:dyDescent="0.3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4:14" x14ac:dyDescent="0.3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4:14" x14ac:dyDescent="0.3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4:14" x14ac:dyDescent="0.3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4:14" x14ac:dyDescent="0.3"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4:14" x14ac:dyDescent="0.3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4:14" x14ac:dyDescent="0.3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4:14" x14ac:dyDescent="0.3"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4:14" x14ac:dyDescent="0.3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4:14" x14ac:dyDescent="0.3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4:14" x14ac:dyDescent="0.3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4:14" x14ac:dyDescent="0.3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4:14" x14ac:dyDescent="0.3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4:14" x14ac:dyDescent="0.3">
      <c r="D78" s="4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4:14" x14ac:dyDescent="0.3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4:14" x14ac:dyDescent="0.3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4:14" x14ac:dyDescent="0.3">
      <c r="D81" s="5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4:14" x14ac:dyDescent="0.3">
      <c r="D82" s="4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4:14" x14ac:dyDescent="0.3">
      <c r="D83" s="4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4:14" x14ac:dyDescent="0.3">
      <c r="D84" s="4"/>
      <c r="E84" s="7"/>
      <c r="F84" s="7"/>
      <c r="G84" s="7"/>
      <c r="H84" s="7"/>
      <c r="I84" s="7"/>
      <c r="J84" s="7"/>
      <c r="K84" s="7"/>
      <c r="L84" s="7"/>
      <c r="M84" s="7"/>
      <c r="N84" s="7"/>
    </row>
  </sheetData>
  <autoFilter ref="A1:AG36" xr:uid="{00000000-0001-0000-0000-000000000000}">
    <filterColumn colId="4">
      <filters blank="1">
        <filter val="KONTROLA26PL322080NS85XVM0"/>
      </filters>
    </filterColumn>
  </autoFilter>
  <phoneticPr fontId="0" type="noConversion"/>
  <conditionalFormatting sqref="D1 D13:I15 H11:I12 H16:I16 K11:N16 D2:F4 D5:E12 H2:N10 D31:I31 D16:E30 H30:I30 K30:N34 H32:I34 D37:N1048576 D32:E35 H17:N29 D36:F36 H35:N36">
    <cfRule type="duplicateValues" dxfId="5" priority="4"/>
  </conditionalFormatting>
  <conditionalFormatting sqref="D4:F4 H4:N4">
    <cfRule type="duplicateValues" priority="433"/>
  </conditionalFormatting>
  <conditionalFormatting sqref="D37:N37 D4:F4 D1 D85:N1048576 H4:N4">
    <cfRule type="duplicateValues" priority="299"/>
    <cfRule type="duplicateValues" priority="317"/>
    <cfRule type="duplicateValues" priority="430"/>
  </conditionalFormatting>
  <conditionalFormatting sqref="D37:N37 D4:F4 D85:N1048576 H4:N4">
    <cfRule type="duplicateValues" priority="372"/>
    <cfRule type="duplicateValues" priority="212"/>
    <cfRule type="duplicateValues" priority="357"/>
    <cfRule type="duplicateValues" priority="409"/>
    <cfRule type="duplicateValues" priority="415"/>
    <cfRule type="duplicateValues" priority="427"/>
  </conditionalFormatting>
  <conditionalFormatting sqref="D37:N37 D85:N1048576 D1 D16:E16 H16:I16 D13:I15 H11:I12 K11:N16 D2:F4 D5:E12 H2:N10">
    <cfRule type="duplicateValues" priority="72"/>
  </conditionalFormatting>
  <conditionalFormatting sqref="D37:N37 D85:N1048576 D1 D2:F4 H2:N4">
    <cfRule type="duplicateValues" priority="86"/>
  </conditionalFormatting>
  <conditionalFormatting sqref="D37:N37 D85:N1048576 D1 D13:I15 H11:I12 H16:I16 K11:N16 D2:F4 D5:E12 H2:N10 D16:E23 H17:N23">
    <cfRule type="duplicateValues" priority="71"/>
  </conditionalFormatting>
  <conditionalFormatting sqref="D37:N37 D85:N1048576 D1 D13:I15 H11:I12 H16:I16 K11:N16 D2:F4 D5:E12 H2:N10 D16:E30 H30:I30 K30:N30 H17:N29">
    <cfRule type="duplicateValues" priority="61"/>
    <cfRule type="duplicateValues" priority="49"/>
    <cfRule type="duplicateValues" priority="42"/>
  </conditionalFormatting>
  <conditionalFormatting sqref="D37:N37 D85:N1048576 D1 D13:I15 H11:I12 K11:N15 D2:F4 D5:E12 H2:N10">
    <cfRule type="duplicateValues" priority="80"/>
  </conditionalFormatting>
  <conditionalFormatting sqref="D38:N47">
    <cfRule type="duplicateValues" priority="17"/>
  </conditionalFormatting>
  <conditionalFormatting sqref="D38:N52">
    <cfRule type="duplicateValues" priority="16"/>
  </conditionalFormatting>
  <conditionalFormatting sqref="D38:N61">
    <cfRule type="duplicateValues" priority="15"/>
  </conditionalFormatting>
  <conditionalFormatting sqref="D38:N62">
    <cfRule type="duplicateValues" priority="9"/>
  </conditionalFormatting>
  <conditionalFormatting sqref="D38:N77">
    <cfRule type="duplicateValues" priority="6"/>
    <cfRule type="duplicateValues" dxfId="4" priority="5"/>
    <cfRule type="duplicateValues" priority="7"/>
    <cfRule type="duplicateValues" priority="8"/>
  </conditionalFormatting>
  <conditionalFormatting sqref="D41:N41 D38:N39">
    <cfRule type="duplicateValues" priority="18"/>
    <cfRule type="duplicateValues" priority="19"/>
  </conditionalFormatting>
  <conditionalFormatting sqref="D41:N41">
    <cfRule type="duplicateValues" priority="20"/>
    <cfRule type="duplicateValues" priority="21"/>
    <cfRule type="duplicateValues" priority="22"/>
    <cfRule type="duplicateValues" priority="23"/>
    <cfRule type="duplicateValues" priority="24"/>
    <cfRule type="duplicateValues" priority="25"/>
    <cfRule type="duplicateValues" priority="26"/>
    <cfRule type="duplicateValues" priority="27"/>
    <cfRule type="duplicateValues" priority="28"/>
  </conditionalFormatting>
  <conditionalFormatting sqref="D62:N62">
    <cfRule type="duplicateValues" priority="14"/>
    <cfRule type="duplicateValues" priority="13"/>
    <cfRule type="duplicateValues" priority="12"/>
    <cfRule type="duplicateValues" priority="11"/>
    <cfRule type="duplicateValues" priority="10"/>
  </conditionalFormatting>
  <conditionalFormatting sqref="D85:N1048576 D1 D13:I15 H11:I12 H16:I16 K11:N16 D2:F4 D5:E12 H2:N10 D31:I31 D16:E30 H30:I30 K30:N34 H32:I34 D37:N37 D32:E35 H17:N29 D36:F36 H35:N36">
    <cfRule type="duplicateValues" dxfId="3" priority="29"/>
  </conditionalFormatting>
  <conditionalFormatting sqref="E1">
    <cfRule type="duplicateValues" dxfId="2" priority="3"/>
  </conditionalFormatting>
  <conditionalFormatting sqref="F1:N1">
    <cfRule type="duplicateValues" dxfId="1" priority="1"/>
    <cfRule type="duplicateValues" dxfId="0" priority="2"/>
  </conditionalFormatting>
  <dataValidations count="2">
    <dataValidation type="textLength" allowBlank="1" showInputMessage="1" showErrorMessage="1" sqref="D62:N62 D21:E21 H21:I21 K21:N21" xr:uid="{2DD98E34-A8D0-4D10-B059-4365D6FE46BF}">
      <formula1>11</formula1>
      <formula2>11</formula2>
    </dataValidation>
    <dataValidation type="decimal" operator="greaterThan" showInputMessage="1" showErrorMessage="1" sqref="AB30:AC30 AB34:AC34" xr:uid="{F4A451AB-0717-40BE-B1C6-9A1789F5F291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TrakIT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tsl7</cp:lastModifiedBy>
  <dcterms:created xsi:type="dcterms:W3CDTF">2025-09-19T12:07:49Z</dcterms:created>
  <dcterms:modified xsi:type="dcterms:W3CDTF">2026-03-09T14:23:14Z</dcterms:modified>
</cp:coreProperties>
</file>